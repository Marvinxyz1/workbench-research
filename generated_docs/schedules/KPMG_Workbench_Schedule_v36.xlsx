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vin/Dev/workbench-research/generated_docs/schedules/"/>
    </mc:Choice>
  </mc:AlternateContent>
  <xr:revisionPtr revIDLastSave="0" documentId="13_ncr:1_{765DEA19-DD0F-A647-ABA2-B7283E3E7222}" xr6:coauthVersionLast="47" xr6:coauthVersionMax="47" xr10:uidLastSave="{00000000-0000-0000-0000-000000000000}"/>
  <bookViews>
    <workbookView xWindow="0" yWindow="680" windowWidth="28740" windowHeight="18960" xr2:uid="{00000000-000D-0000-FFFF-FFFF00000000}"/>
  </bookViews>
  <sheets>
    <sheet name="ガントチャート" sheetId="1" r:id="rId1"/>
    <sheet name="KC組タスク" sheetId="2" r:id="rId2"/>
    <sheet name="ATH組タスク" sheetId="3" r:id="rId3"/>
    <sheet name="休暇カレンダー" sheetId="4" r:id="rId4"/>
    <sheet name="マイルストーン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" l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<sst xmlns="http://schemas.openxmlformats.org/spreadsheetml/2006/main" count="724" uniqueCount="277">
  <si>
    <t>Phase</t>
  </si>
  <si>
    <t>WBS</t>
  </si>
  <si>
    <t>Sub-Task</t>
  </si>
  <si>
    <t>Action</t>
  </si>
  <si>
    <t>Owner</t>
  </si>
  <si>
    <t>Deliverable</t>
  </si>
  <si>
    <t>Status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</si>
  <si>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</si>
  <si>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</si>
  <si>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</si>
  <si>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</si>
  <si>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</si>
  <si>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</si>
  <si>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</si>
  <si>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</si>
  <si>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</si>
  <si>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オンボーディング
フェーズ
(10-11月)</t>
  </si>
  <si>
    <t>1.1</t>
  </si>
  <si>
    <t>学習・認証</t>
  </si>
  <si>
    <t>Prerequisites 認証完了</t>
  </si>
  <si>
    <t>KC+ATH</t>
  </si>
  <si>
    <t>認証バッジ</t>
  </si>
  <si>
    <t>完了</t>
  </si>
  <si>
    <t>1.1.1</t>
  </si>
  <si>
    <t>Developer Learning Path 完了</t>
  </si>
  <si>
    <t>学習修了証</t>
  </si>
  <si>
    <t>1.1.2</t>
  </si>
  <si>
    <t>Knowledge Badge 取得</t>
  </si>
  <si>
    <t>バッジ証明</t>
  </si>
  <si>
    <t>1.2</t>
  </si>
  <si>
    <t>技術評価</t>
  </si>
  <si>
    <t>Workbench 環境セットアップ</t>
  </si>
  <si>
    <t>環境構築完了</t>
  </si>
  <si>
    <t>1.2.1</t>
  </si>
  <si>
    <t>API 機能調査（Document Translation等）</t>
  </si>
  <si>
    <t>API調査レポート</t>
  </si>
  <si>
    <t>1.2.2</t>
  </si>
  <si>
    <t>Agent 開発フレームワーク評価</t>
  </si>
  <si>
    <t>評価レポート</t>
  </si>
  <si>
    <t>1.3</t>
  </si>
  <si>
    <t>課題対応</t>
  </si>
  <si>
    <t>手続上の障壁把握</t>
  </si>
  <si>
    <t>課題リスト</t>
  </si>
  <si>
    <t>1.3.1</t>
  </si>
  <si>
    <t>APIアクセス課題解決（12/1完了）</t>
  </si>
  <si>
    <t>解決策ドキュメント</t>
  </si>
  <si>
    <t>1.3.2</t>
  </si>
  <si>
    <t>Global WB Community ローンチ（11/13）</t>
  </si>
  <si>
    <t>Community稼働</t>
  </si>
  <si>
    <t>1.4</t>
  </si>
  <si>
    <t>報告・計画</t>
  </si>
  <si>
    <t>技術評価レポート作成</t>
  </si>
  <si>
    <t>1.4.1</t>
  </si>
  <si>
    <t>Phase 2 計画策定</t>
  </si>
  <si>
    <t>計画書</t>
  </si>
  <si>
    <t>誰でも1週間で
迷いなく開始
(12-1月)</t>
  </si>
  <si>
    <t>2.1</t>
  </si>
  <si>
    <t>KC組タスク</t>
  </si>
  <si>
    <t>残りAPIテスト完了（Document Translation等）</t>
  </si>
  <si>
    <t>KC</t>
  </si>
  <si>
    <t>テストレポート</t>
  </si>
  <si>
    <t>未開始</t>
  </si>
  <si>
    <t>2.1.1</t>
  </si>
  <si>
    <t>APIテスト報告総括</t>
  </si>
  <si>
    <t>総括レポート</t>
  </si>
  <si>
    <t>2.1.2</t>
  </si>
  <si>
    <t>Cookbook基礎テンプレート整備</t>
  </si>
  <si>
    <t>テンプレート</t>
  </si>
  <si>
    <t>2.1.3</t>
  </si>
  <si>
    <t>ATH組への技術サポート資料提供</t>
  </si>
  <si>
    <t>技術資料</t>
  </si>
  <si>
    <t>2.1.4</t>
  </si>
  <si>
    <t>ATH組成果物Review</t>
  </si>
  <si>
    <t>Reviewレポート</t>
  </si>
  <si>
    <t>2.1.5</t>
  </si>
  <si>
    <t>Cookbook上級用例補充（2シナリオ）</t>
  </si>
  <si>
    <t>上級用例</t>
  </si>
  <si>
    <t>2.1.6</t>
  </si>
  <si>
    <t>Agentベストプラクティスドキュメント作成</t>
  </si>
  <si>
    <t>ベストプラクティス</t>
  </si>
  <si>
    <t>2.1.7</t>
  </si>
  <si>
    <t>Phase 2 総括レポート</t>
  </si>
  <si>
    <t>2.2</t>
  </si>
  <si>
    <t>ATH組タスク</t>
  </si>
  <si>
    <t>KJ開発者Onboardingサイト設計</t>
  </si>
  <si>
    <t>ATH</t>
  </si>
  <si>
    <t>設計書</t>
  </si>
  <si>
    <t>2.2.1</t>
  </si>
  <si>
    <t>Onboardingサイトフロントエンド開発</t>
  </si>
  <si>
    <t>フロントエンド</t>
  </si>
  <si>
    <t>2.2.2</t>
  </si>
  <si>
    <t>Onboardingサイトコンテンツ作成</t>
  </si>
  <si>
    <t>コンテンツ</t>
  </si>
  <si>
    <t>2.2.3</t>
  </si>
  <si>
    <t>Agent検証環境構築</t>
  </si>
  <si>
    <t>環境構築</t>
  </si>
  <si>
    <t>2.2.4</t>
  </si>
  <si>
    <t>API/Agent基礎検証テスト</t>
  </si>
  <si>
    <t>テスト結果</t>
  </si>
  <si>
    <t>2.2.5</t>
  </si>
  <si>
    <t>Cookbookコア用例作成（5シナリオ）</t>
  </si>
  <si>
    <t>コア用例</t>
  </si>
  <si>
    <t>2.2.6</t>
  </si>
  <si>
    <t>開発者コミュニティプラットフォーム構築</t>
  </si>
  <si>
    <t>プラットフォーム</t>
  </si>
  <si>
    <t>2.2.7</t>
  </si>
  <si>
    <t>開発者コミュニティ初期コンテンツ</t>
  </si>
  <si>
    <t>初期コンテンツ</t>
  </si>
  <si>
    <t>2.2.8</t>
  </si>
  <si>
    <t>Onboardingサイトローンチ＆テスト</t>
  </si>
  <si>
    <t>サイト稼働</t>
  </si>
  <si>
    <t>2.2.9</t>
  </si>
  <si>
    <t>開発者コミュニティ正式ローンチ</t>
  </si>
  <si>
    <t>コミュニティ稼働</t>
  </si>
  <si>
    <t>海外MF
ナレッジ探索
(2-3月)</t>
  </si>
  <si>
    <t>3.1</t>
  </si>
  <si>
    <t>POC討論</t>
  </si>
  <si>
    <t>POC項目テーマブレインストーミング</t>
  </si>
  <si>
    <t>テーマリスト</t>
  </si>
  <si>
    <t>3.1.1</t>
  </si>
  <si>
    <t>関係者ニーズ・アイデア収集</t>
  </si>
  <si>
    <t>ニーズリスト</t>
  </si>
  <si>
    <t>3.1.2</t>
  </si>
  <si>
    <t>POC項目フィージビリティ初期評価</t>
  </si>
  <si>
    <t>評価結果</t>
  </si>
  <si>
    <t>3.1.3</t>
  </si>
  <si>
    <t>POC項目リスト確定（2-3件）</t>
  </si>
  <si>
    <t>確定リスト</t>
  </si>
  <si>
    <t>3.2</t>
  </si>
  <si>
    <t>海外MF情報収集</t>
  </si>
  <si>
    <t>US/UK/AU等MFのAgent開発事例収集</t>
  </si>
  <si>
    <t>事例リスト</t>
  </si>
  <si>
    <t>3.2.1</t>
  </si>
  <si>
    <t>海外MF技術ドキュメント翻訳整理</t>
  </si>
  <si>
    <t>翻訳ドキュメント</t>
  </si>
  <si>
    <t>3.2.2</t>
  </si>
  <si>
    <t>ナレッジ再利用フレームワーク構築</t>
  </si>
  <si>
    <t>フレームワーク</t>
  </si>
  <si>
    <t>3.2.3</t>
  </si>
  <si>
    <t>海外MF技術交流会議（2回）</t>
  </si>
  <si>
    <t>会議記録</t>
  </si>
  <si>
    <t>3.2.4</t>
  </si>
  <si>
    <t>海外ソリューション実現可能性評価レポート</t>
  </si>
  <si>
    <t>3.3</t>
  </si>
  <si>
    <t>POC開始</t>
  </si>
  <si>
    <t>POC項目A開始</t>
  </si>
  <si>
    <t>POC A進捗</t>
  </si>
  <si>
    <t>3.3.1</t>
  </si>
  <si>
    <t>POC項目B開始</t>
  </si>
  <si>
    <t>POC B進捗</t>
  </si>
  <si>
    <t>3.3.2</t>
  </si>
  <si>
    <t>POC技術サポート</t>
  </si>
  <si>
    <t>技術サポート</t>
  </si>
  <si>
    <t>3.3.3</t>
  </si>
  <si>
    <t>POC中期レビュー</t>
  </si>
  <si>
    <t>中期レビュー</t>
  </si>
  <si>
    <t>スピーディな
プロダクトプロセス
(4-6月)</t>
  </si>
  <si>
    <t>4.1</t>
  </si>
  <si>
    <t>POC完成</t>
  </si>
  <si>
    <t>POC項目A完成＆評価</t>
  </si>
  <si>
    <t>POC A完成</t>
  </si>
  <si>
    <t>4.1.1</t>
  </si>
  <si>
    <t>POC項目B完成＆評価</t>
  </si>
  <si>
    <t>POC B完成</t>
  </si>
  <si>
    <t>4.2</t>
  </si>
  <si>
    <t>本番アプリ開発</t>
  </si>
  <si>
    <t>本番アプリアーキテクチャ設計Review</t>
  </si>
  <si>
    <t>設計Review</t>
  </si>
  <si>
    <t>4.2.1</t>
  </si>
  <si>
    <t>本番アプリ開発（項目A）</t>
  </si>
  <si>
    <t>アプリA</t>
  </si>
  <si>
    <t>4.2.2</t>
  </si>
  <si>
    <t>本番アプリ開発（項目B）</t>
  </si>
  <si>
    <t>アプリB</t>
  </si>
  <si>
    <t>4.2.3</t>
  </si>
  <si>
    <t>セキュリティ・コンプライアンス審査</t>
  </si>
  <si>
    <t>審査結果</t>
  </si>
  <si>
    <t>4.3</t>
  </si>
  <si>
    <t>リリース</t>
  </si>
  <si>
    <t>UATテスト</t>
  </si>
  <si>
    <t>4.3.1</t>
  </si>
  <si>
    <t>本番リリース準備</t>
  </si>
  <si>
    <t>リリース準備</t>
  </si>
  <si>
    <t>4.3.2</t>
  </si>
  <si>
    <t>本番リリース＆監視</t>
  </si>
  <si>
    <t>リリース完了</t>
  </si>
  <si>
    <t>4.3.3</t>
  </si>
  <si>
    <t>最終発表承認</t>
  </si>
  <si>
    <t>承認完了</t>
  </si>
  <si>
    <t>4.4</t>
  </si>
  <si>
    <t>プロセス確立</t>
  </si>
  <si>
    <t>新プロセスドキュメント化</t>
  </si>
  <si>
    <t>プロセスドキュメント</t>
  </si>
  <si>
    <t>4.4.1</t>
  </si>
  <si>
    <t>プロジェクト総括レポート</t>
  </si>
  <si>
    <t>凡例:</t>
  </si>
  <si>
    <t>Phase 1</t>
  </si>
  <si>
    <t>Phase 2</t>
  </si>
  <si>
    <t>Phase 3</t>
  </si>
  <si>
    <t>Phase 4</t>
  </si>
  <si>
    <t>Months</t>
  </si>
  <si>
    <t>10月, 11月</t>
  </si>
  <si>
    <t>3月, 4月</t>
  </si>
  <si>
    <t>4月, 5月</t>
  </si>
  <si>
    <t>5月, 6月</t>
  </si>
  <si>
    <t>カレンダービュー</t>
  </si>
  <si>
    <t>2024-2025 年末年始休暇カレンダー</t>
  </si>
  <si>
    <t>2024年12月</t>
  </si>
  <si>
    <t>2025年1月</t>
  </si>
  <si>
    <t>組織</t>
  </si>
  <si>
    <t>開始日</t>
  </si>
  <si>
    <t>終了日</t>
  </si>
  <si>
    <t>月</t>
  </si>
  <si>
    <t>火</t>
  </si>
  <si>
    <t>水</t>
  </si>
  <si>
    <t>木</t>
  </si>
  <si>
    <t>金</t>
  </si>
  <si>
    <t>土</t>
  </si>
  <si>
    <t>日</t>
  </si>
  <si>
    <t>2024-12-24</t>
  </si>
  <si>
    <t>2025-01-05</t>
  </si>
  <si>
    <t>2024-12-28</t>
  </si>
  <si>
    <t>KC休暇(Ma)</t>
  </si>
  <si>
    <t>ATH休暇</t>
  </si>
  <si>
    <t>両方休暇</t>
  </si>
  <si>
    <t>マイルストーン</t>
  </si>
  <si>
    <t>予定日</t>
  </si>
  <si>
    <t>実績日</t>
  </si>
  <si>
    <t>成果物</t>
  </si>
  <si>
    <t>ステータス</t>
  </si>
  <si>
    <t>Phase 1 開始</t>
  </si>
  <si>
    <t>2024-10-01</t>
  </si>
  <si>
    <t>オンボーディング開始</t>
  </si>
  <si>
    <t>Prerequisites認証完了</t>
  </si>
  <si>
    <t>2024-10-31</t>
  </si>
  <si>
    <t>技術評価レポート完成</t>
  </si>
  <si>
    <t>2024-11-30</t>
  </si>
  <si>
    <t>Phase 2 開始</t>
  </si>
  <si>
    <t>2024-12-01</t>
  </si>
  <si>
    <t>チーム拡大</t>
  </si>
  <si>
    <t>KC組休暇開始</t>
  </si>
  <si>
    <t>引継ぎ完了</t>
  </si>
  <si>
    <t>ATH組休暇開始</t>
  </si>
  <si>
    <t>-</t>
  </si>
  <si>
    <t>全員復帰</t>
  </si>
  <si>
    <t>2025-01-06</t>
  </si>
  <si>
    <t>開発再開</t>
  </si>
  <si>
    <t>Onboardingサイト公開</t>
  </si>
  <si>
    <t>2025-01-31</t>
  </si>
  <si>
    <t>開発者コミュニティ公開</t>
  </si>
  <si>
    <t>Phase 3 開始</t>
  </si>
  <si>
    <t>2025-02-01</t>
  </si>
  <si>
    <t>海外MF探索開始</t>
  </si>
  <si>
    <t>POC項目確定</t>
  </si>
  <si>
    <t>2025-03-01</t>
  </si>
  <si>
    <t>POC開発開始</t>
  </si>
  <si>
    <t>Phase 4 開始</t>
  </si>
  <si>
    <t>2025-04-01</t>
  </si>
  <si>
    <t>本番開発開始</t>
  </si>
  <si>
    <t>2025-04-15</t>
  </si>
  <si>
    <t>POC評価完了</t>
  </si>
  <si>
    <t>UAT完成</t>
  </si>
  <si>
    <t>2025-05-31</t>
  </si>
  <si>
    <t>テスト合格</t>
  </si>
  <si>
    <t>本番リリース</t>
  </si>
  <si>
    <t>アプリ公開</t>
  </si>
  <si>
    <t>プロジェクト完了</t>
  </si>
  <si>
    <t>2025-06-30</t>
  </si>
  <si>
    <t>テストレポート</t>
    <phoneticPr fontId="8" type="noConversion"/>
  </si>
  <si>
    <t>KPMG_Workbench_API一覧</t>
    <phoneticPr fontId="8" type="noConversion"/>
  </si>
  <si>
    <t>KC+ATH</t>
    <phoneticPr fontId="8" type="noConversion"/>
  </si>
  <si>
    <t>ATH</t>
    <phoneticPr fontId="8" type="noConversion"/>
  </si>
  <si>
    <t>KJ開発者Onboardingサイト設計</t>
    <phoneticPr fontId="8" type="noConversion"/>
  </si>
  <si>
    <t>Onboarding簡易パワポ作成</t>
    <phoneticPr fontId="8" type="noConversion"/>
  </si>
  <si>
    <t>KC・ALH共同会議</t>
    <phoneticPr fontId="8" type="noConversion"/>
  </si>
  <si>
    <t>N/A</t>
    <phoneticPr fontId="8" type="noConversion"/>
  </si>
  <si>
    <t>Onboarding簡易パワポ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</si>
</sst>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color rgb="FFFFFFFF"/>
      <name val="Meiryo UI"/>
      <family val="2"/>
      <charset val="128"/>
    </font>
    <font>
      <b/>
      <sz val="10"/>
      <color rgb="FFFFFFFF"/>
      <name val="Meiryo UI"/>
      <family val="2"/>
      <charset val="128"/>
    </font>
    <font>
      <sz val="11"/>
      <name val="Meiryo UI"/>
      <family val="2"/>
      <charset val="128"/>
    </font>
    <font>
      <b/>
      <sz val="11"/>
      <color rgb="FFFFFFFF"/>
      <name val="Meiryo UI"/>
      <family val="2"/>
      <charset val="128"/>
    </font>
    <font>
      <sz val="11"/>
      <color rgb="FFFFFFFF"/>
      <name val="Meiryo UI"/>
      <family val="2"/>
      <charset val="128"/>
    </font>
    <font>
      <b/>
      <sz val="14"/>
      <color rgb="FF005EB8"/>
      <name val="Meiryo UI"/>
      <family val="2"/>
      <charset val="128"/>
    </font>
    <font>
      <b/>
      <sz val="11"/>
      <name val="Meiryo UI"/>
      <family val="2"/>
      <charset val="128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5EB8"/>
        <bgColor rgb="FF005EB8"/>
      </patternFill>
    </fill>
    <fill>
      <patternFill patternType="solid">
        <fgColor rgb="FF00338D"/>
        <bgColor rgb="FF00338D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70AD47"/>
        <bgColor rgb="FF70AD47"/>
      </patternFill>
    </fill>
    <fill>
      <patternFill patternType="solid">
        <fgColor rgb="FFE91E8C"/>
        <bgColor rgb="FFE91E8C"/>
      </patternFill>
    </fill>
    <fill>
      <patternFill patternType="solid">
        <fgColor rgb="FFFF9999"/>
        <bgColor rgb="FFFF999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3" borderId="3" xfId="0" applyFill="1" applyBorder="1"/>
    <xf numFmtId="0" fontId="0" fillId="0" borderId="3" xfId="0" applyBorder="1"/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2" borderId="3" xfId="0" applyFill="1" applyBorder="1"/>
    <xf numFmtId="0" fontId="4" fillId="8" borderId="1" xfId="0" applyFont="1" applyFill="1" applyBorder="1" applyAlignment="1">
      <alignment horizontal="left" vertical="center" wrapText="1"/>
    </xf>
    <xf numFmtId="0" fontId="0" fillId="8" borderId="3" xfId="0" applyFill="1" applyBorder="1"/>
    <xf numFmtId="0" fontId="0" fillId="9" borderId="3" xfId="0" applyFill="1" applyBorder="1"/>
    <xf numFmtId="0" fontId="5" fillId="3" borderId="0" xfId="0" applyFont="1" applyFill="1"/>
    <xf numFmtId="0" fontId="5" fillId="2" borderId="0" xfId="0" applyFont="1" applyFill="1"/>
    <xf numFmtId="0" fontId="5" fillId="8" borderId="0" xfId="0" applyFont="1" applyFill="1"/>
    <xf numFmtId="0" fontId="5" fillId="9" borderId="0" xfId="0" applyFont="1" applyFill="1"/>
    <xf numFmtId="0" fontId="6" fillId="0" borderId="0" xfId="0" applyFont="1"/>
    <xf numFmtId="0" fontId="7" fillId="0" borderId="0" xfId="0" applyFont="1"/>
    <xf numFmtId="0" fontId="0" fillId="10" borderId="0" xfId="0" applyFill="1"/>
    <xf numFmtId="0" fontId="5" fillId="6" borderId="0" xfId="0" applyFont="1" applyFill="1"/>
    <xf numFmtId="0" fontId="3" fillId="0" borderId="1" xfId="0" applyFont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2" fillId="8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1" fillId="4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41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="163" workbookViewId="0">
      <pane xSplit="7" ySplit="1" topLeftCell="H5" activePane="bottomRight" state="frozen"/>
      <selection pane="topRight"/>
      <selection pane="bottomLeft"/>
      <selection pane="bottomRight" activeCell="E16" sqref="E16"/>
    </sheetView>
  </sheetViews>
  <sheetFormatPr baseColWidth="10" defaultColWidth="8.83203125" defaultRowHeight="14"/>
  <cols>
    <col min="1" max="1" width="19" customWidth="1"/>
    <col min="2" max="2" width="8" customWidth="1"/>
    <col min="3" max="3" width="18" customWidth="1"/>
    <col min="4" max="4" width="40" customWidth="1"/>
    <col min="5" max="5" width="13" bestFit="1" customWidth="1"/>
    <col min="6" max="6" width="20" customWidth="1"/>
    <col min="7" max="7" width="10" customWidth="1"/>
    <col min="8" max="16" width="5" customWidth="1"/>
  </cols>
  <sheetData>
    <row r="1" spans="1:1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">
      <c r="A2" s="27" t="s">
        <v>16</v>
      </c>
      <c r="B2" s="2" t="s">
        <v>17</v>
      </c>
      <c r="C2" s="21" t="s">
        <v>18</v>
      </c>
      <c r="D2" s="2" t="s">
        <v>19</v>
      </c>
      <c r="E2" s="3" t="s">
        <v>20</v>
      </c>
      <c r="F2" s="2" t="s">
        <v>21</v>
      </c>
      <c r="G2" s="4" t="s">
        <v>22</v>
      </c>
      <c r="H2" s="5"/>
      <c r="I2" s="6"/>
      <c r="J2" s="6"/>
      <c r="K2" s="6"/>
      <c r="L2" s="6"/>
      <c r="M2" s="6"/>
      <c r="N2" s="6"/>
      <c r="O2" s="6"/>
      <c r="P2" s="6"/>
    </row>
    <row r="3" spans="1:16" ht="17">
      <c r="A3" s="25"/>
      <c r="B3" s="2" t="s">
        <v>23</v>
      </c>
      <c r="C3" s="22"/>
      <c r="D3" s="2" t="s">
        <v>24</v>
      </c>
      <c r="E3" s="3" t="s">
        <v>20</v>
      </c>
      <c r="F3" s="2" t="s">
        <v>25</v>
      </c>
      <c r="G3" s="4" t="s">
        <v>22</v>
      </c>
      <c r="H3" s="5"/>
      <c r="I3" s="5"/>
      <c r="J3" s="6"/>
      <c r="K3" s="6"/>
      <c r="L3" s="6"/>
      <c r="M3" s="6"/>
      <c r="N3" s="6"/>
      <c r="O3" s="6"/>
      <c r="P3" s="6"/>
    </row>
    <row r="4" spans="1:16" ht="17">
      <c r="A4" s="25"/>
      <c r="B4" s="2" t="s">
        <v>26</v>
      </c>
      <c r="C4" s="23"/>
      <c r="D4" s="2" t="s">
        <v>27</v>
      </c>
      <c r="E4" s="3" t="s">
        <v>20</v>
      </c>
      <c r="F4" s="2" t="s">
        <v>28</v>
      </c>
      <c r="G4" s="4" t="s">
        <v>22</v>
      </c>
      <c r="H4" s="6"/>
      <c r="I4" s="5"/>
      <c r="J4" s="6"/>
      <c r="K4" s="6"/>
      <c r="L4" s="6"/>
      <c r="M4" s="6"/>
      <c r="N4" s="6"/>
      <c r="O4" s="6"/>
      <c r="P4" s="6"/>
    </row>
    <row r="5" spans="1:16" ht="17">
      <c r="A5" s="25"/>
      <c r="B5" s="2" t="s">
        <v>29</v>
      </c>
      <c r="C5" s="21" t="s">
        <v>30</v>
      </c>
      <c r="D5" s="2" t="s">
        <v>31</v>
      </c>
      <c r="E5" s="3" t="s">
        <v>20</v>
      </c>
      <c r="F5" s="2" t="s">
        <v>32</v>
      </c>
      <c r="G5" s="4" t="s">
        <v>22</v>
      </c>
      <c r="H5" s="5"/>
      <c r="I5" s="6"/>
      <c r="J5" s="6"/>
      <c r="K5" s="6"/>
      <c r="L5" s="6"/>
      <c r="M5" s="6"/>
      <c r="N5" s="6"/>
      <c r="O5" s="6"/>
      <c r="P5" s="6"/>
    </row>
    <row r="6" spans="1:16" ht="34">
      <c r="A6" s="25"/>
      <c r="B6" s="2" t="s">
        <v>33</v>
      </c>
      <c r="C6" s="22"/>
      <c r="D6" s="2" t="s">
        <v>34</v>
      </c>
      <c r="E6" s="3" t="s">
        <v>20</v>
      </c>
      <c r="F6" s="2" t="s">
        <v>269</v>
      </c>
      <c r="G6" s="4" t="s">
        <v>22</v>
      </c>
      <c r="H6" s="5"/>
      <c r="I6" s="5"/>
      <c r="J6" s="6"/>
      <c r="K6" s="6"/>
      <c r="L6" s="6"/>
      <c r="M6" s="6"/>
      <c r="N6" s="6"/>
      <c r="O6" s="6"/>
      <c r="P6" s="6"/>
    </row>
    <row r="7" spans="1:16" ht="17">
      <c r="A7" s="25"/>
      <c r="B7" s="2" t="s">
        <v>39</v>
      </c>
      <c r="C7" s="21" t="s">
        <v>40</v>
      </c>
      <c r="D7" s="2" t="s">
        <v>41</v>
      </c>
      <c r="E7" s="3" t="s">
        <v>20</v>
      </c>
      <c r="F7" s="2" t="s">
        <v>42</v>
      </c>
      <c r="G7" s="4" t="s">
        <v>22</v>
      </c>
      <c r="H7" s="5"/>
      <c r="I7" s="6"/>
      <c r="J7" s="6"/>
      <c r="K7" s="6"/>
      <c r="L7" s="6"/>
      <c r="M7" s="6"/>
      <c r="N7" s="6"/>
      <c r="O7" s="6"/>
      <c r="P7" s="6"/>
    </row>
    <row r="8" spans="1:16" ht="17">
      <c r="A8" s="25"/>
      <c r="B8" s="2" t="s">
        <v>43</v>
      </c>
      <c r="C8" s="22"/>
      <c r="D8" s="2" t="s">
        <v>44</v>
      </c>
      <c r="E8" s="32" t="s">
        <v>271</v>
      </c>
      <c r="F8" s="2" t="s">
        <v>45</v>
      </c>
      <c r="G8" s="4" t="s">
        <v>22</v>
      </c>
      <c r="H8" s="6"/>
      <c r="I8" s="5"/>
      <c r="J8" s="6"/>
      <c r="K8" s="6"/>
      <c r="L8" s="6"/>
      <c r="M8" s="6"/>
      <c r="N8" s="6"/>
      <c r="O8" s="6"/>
      <c r="P8" s="6"/>
    </row>
    <row r="9" spans="1:16" ht="17">
      <c r="A9" s="25"/>
      <c r="B9" s="2" t="s">
        <v>46</v>
      </c>
      <c r="C9" s="23"/>
      <c r="D9" s="2" t="s">
        <v>47</v>
      </c>
      <c r="E9" s="32" t="s">
        <v>271</v>
      </c>
      <c r="F9" s="2" t="s">
        <v>48</v>
      </c>
      <c r="G9" s="4" t="s">
        <v>22</v>
      </c>
      <c r="H9" s="6"/>
      <c r="I9" s="5"/>
      <c r="J9" s="6"/>
      <c r="K9" s="6"/>
      <c r="L9" s="6"/>
      <c r="M9" s="6"/>
      <c r="N9" s="6"/>
      <c r="O9" s="6"/>
      <c r="P9" s="6"/>
    </row>
    <row r="10" spans="1:16" ht="17">
      <c r="A10" s="25"/>
      <c r="B10" s="2" t="s">
        <v>49</v>
      </c>
      <c r="C10" s="21" t="s">
        <v>50</v>
      </c>
      <c r="D10" s="2" t="s">
        <v>273</v>
      </c>
      <c r="E10" s="32" t="s">
        <v>270</v>
      </c>
      <c r="F10" s="2" t="s">
        <v>276</v>
      </c>
      <c r="G10" s="4" t="s">
        <v>22</v>
      </c>
      <c r="H10" s="6"/>
      <c r="I10" s="5"/>
      <c r="J10" s="6"/>
      <c r="K10" s="6"/>
      <c r="L10" s="6"/>
      <c r="M10" s="6"/>
      <c r="N10" s="6"/>
      <c r="O10" s="6"/>
      <c r="P10" s="6"/>
    </row>
    <row r="11" spans="1:16" ht="17">
      <c r="A11" s="26"/>
      <c r="B11" s="2" t="s">
        <v>52</v>
      </c>
      <c r="C11" s="23"/>
      <c r="D11" s="2" t="s">
        <v>274</v>
      </c>
      <c r="E11" s="3" t="s">
        <v>20</v>
      </c>
      <c r="F11" s="2" t="s">
        <v>275</v>
      </c>
      <c r="G11" s="4" t="s">
        <v>22</v>
      </c>
      <c r="H11" s="6"/>
      <c r="I11" s="5"/>
      <c r="J11" s="6"/>
      <c r="K11" s="6"/>
      <c r="L11" s="6"/>
      <c r="M11" s="6"/>
      <c r="N11" s="6"/>
      <c r="O11" s="6"/>
      <c r="P11" s="6"/>
    </row>
    <row r="12" spans="1:16" ht="17">
      <c r="A12" s="28" t="s">
        <v>55</v>
      </c>
      <c r="B12" s="2" t="s">
        <v>56</v>
      </c>
      <c r="C12" s="21" t="s">
        <v>57</v>
      </c>
      <c r="D12" s="2" t="s">
        <v>58</v>
      </c>
      <c r="E12" s="7" t="s">
        <v>59</v>
      </c>
      <c r="F12" s="2" t="s">
        <v>268</v>
      </c>
      <c r="G12" s="8" t="s">
        <v>61</v>
      </c>
      <c r="H12" s="6"/>
      <c r="I12" s="6"/>
      <c r="J12" s="9"/>
      <c r="K12" s="6"/>
      <c r="L12" s="6"/>
      <c r="M12" s="6"/>
      <c r="N12" s="6"/>
      <c r="O12" s="6"/>
      <c r="P12" s="6"/>
    </row>
    <row r="13" spans="1:16" ht="17">
      <c r="A13" s="25"/>
      <c r="B13" s="2" t="s">
        <v>62</v>
      </c>
      <c r="C13" s="22"/>
      <c r="D13" s="2" t="s">
        <v>63</v>
      </c>
      <c r="E13" s="7" t="s">
        <v>59</v>
      </c>
      <c r="F13" s="2" t="s">
        <v>64</v>
      </c>
      <c r="G13" s="8" t="s">
        <v>61</v>
      </c>
      <c r="H13" s="6"/>
      <c r="I13" s="6"/>
      <c r="J13" s="9"/>
      <c r="K13" s="6"/>
      <c r="L13" s="6"/>
      <c r="M13" s="6"/>
      <c r="N13" s="6"/>
      <c r="O13" s="6"/>
      <c r="P13" s="6"/>
    </row>
    <row r="14" spans="1:16" ht="17">
      <c r="A14" s="25"/>
      <c r="B14" s="2" t="s">
        <v>65</v>
      </c>
      <c r="C14" s="22"/>
      <c r="D14" s="2" t="s">
        <v>66</v>
      </c>
      <c r="E14" s="7" t="s">
        <v>59</v>
      </c>
      <c r="F14" s="2" t="s">
        <v>67</v>
      </c>
      <c r="G14" s="8" t="s">
        <v>61</v>
      </c>
      <c r="H14" s="6"/>
      <c r="I14" s="6"/>
      <c r="J14" s="9"/>
      <c r="K14" s="6"/>
      <c r="L14" s="6"/>
      <c r="M14" s="6"/>
      <c r="N14" s="6"/>
      <c r="O14" s="6"/>
      <c r="P14" s="6"/>
    </row>
    <row r="15" spans="1:16" ht="17">
      <c r="A15" s="25"/>
      <c r="B15" s="2" t="s">
        <v>68</v>
      </c>
      <c r="C15" s="22"/>
      <c r="D15" s="2" t="s">
        <v>69</v>
      </c>
      <c r="E15" s="7" t="s">
        <v>59</v>
      </c>
      <c r="F15" s="2" t="s">
        <v>70</v>
      </c>
      <c r="G15" s="8" t="s">
        <v>61</v>
      </c>
      <c r="H15" s="6"/>
      <c r="I15" s="6"/>
      <c r="J15" s="9"/>
      <c r="K15" s="6"/>
      <c r="L15" s="6"/>
      <c r="M15" s="6"/>
      <c r="N15" s="6"/>
      <c r="O15" s="6"/>
      <c r="P15" s="6"/>
    </row>
    <row r="16" spans="1:16" ht="17">
      <c r="A16" s="25"/>
      <c r="B16" s="2" t="s">
        <v>71</v>
      </c>
      <c r="C16" s="22"/>
      <c r="D16" s="2" t="s">
        <v>72</v>
      </c>
      <c r="E16" s="7" t="s">
        <v>59</v>
      </c>
      <c r="F16" s="2" t="s">
        <v>73</v>
      </c>
      <c r="G16" s="8" t="s">
        <v>61</v>
      </c>
      <c r="H16" s="6"/>
      <c r="I16" s="6"/>
      <c r="J16" s="6"/>
      <c r="K16" s="9"/>
      <c r="L16" s="6"/>
      <c r="M16" s="6"/>
      <c r="N16" s="6"/>
      <c r="O16" s="6"/>
      <c r="P16" s="6"/>
    </row>
    <row r="17" spans="1:16" ht="17">
      <c r="A17" s="25"/>
      <c r="B17" s="2" t="s">
        <v>74</v>
      </c>
      <c r="C17" s="22"/>
      <c r="D17" s="2" t="s">
        <v>75</v>
      </c>
      <c r="E17" s="7" t="s">
        <v>59</v>
      </c>
      <c r="F17" s="2" t="s">
        <v>76</v>
      </c>
      <c r="G17" s="8" t="s">
        <v>61</v>
      </c>
      <c r="H17" s="6"/>
      <c r="I17" s="6"/>
      <c r="J17" s="6"/>
      <c r="K17" s="9"/>
      <c r="L17" s="6"/>
      <c r="M17" s="6"/>
      <c r="N17" s="6"/>
      <c r="O17" s="6"/>
      <c r="P17" s="6"/>
    </row>
    <row r="18" spans="1:16" ht="17">
      <c r="A18" s="25"/>
      <c r="B18" s="2" t="s">
        <v>77</v>
      </c>
      <c r="C18" s="22"/>
      <c r="D18" s="2" t="s">
        <v>78</v>
      </c>
      <c r="E18" s="7" t="s">
        <v>59</v>
      </c>
      <c r="F18" s="2" t="s">
        <v>79</v>
      </c>
      <c r="G18" s="8" t="s">
        <v>61</v>
      </c>
      <c r="H18" s="6"/>
      <c r="I18" s="6"/>
      <c r="J18" s="6"/>
      <c r="K18" s="9"/>
      <c r="L18" s="6"/>
      <c r="M18" s="6"/>
      <c r="N18" s="6"/>
      <c r="O18" s="6"/>
      <c r="P18" s="6"/>
    </row>
    <row r="19" spans="1:16" ht="17">
      <c r="A19" s="25"/>
      <c r="B19" s="2" t="s">
        <v>80</v>
      </c>
      <c r="C19" s="23"/>
      <c r="D19" s="2" t="s">
        <v>81</v>
      </c>
      <c r="E19" s="7" t="s">
        <v>59</v>
      </c>
      <c r="F19" s="2" t="s">
        <v>64</v>
      </c>
      <c r="G19" s="8" t="s">
        <v>61</v>
      </c>
      <c r="H19" s="6"/>
      <c r="I19" s="6"/>
      <c r="J19" s="6"/>
      <c r="K19" s="9"/>
      <c r="L19" s="6"/>
      <c r="M19" s="6"/>
      <c r="N19" s="6"/>
      <c r="O19" s="6"/>
      <c r="P19" s="6"/>
    </row>
    <row r="20" spans="1:16" ht="17">
      <c r="A20" s="25"/>
      <c r="B20" s="2" t="s">
        <v>82</v>
      </c>
      <c r="C20" s="21" t="s">
        <v>83</v>
      </c>
      <c r="D20" s="2" t="s">
        <v>272</v>
      </c>
      <c r="E20" s="10" t="s">
        <v>85</v>
      </c>
      <c r="F20" s="2" t="s">
        <v>86</v>
      </c>
      <c r="G20" s="8" t="s">
        <v>61</v>
      </c>
      <c r="H20" s="6"/>
      <c r="I20" s="6"/>
      <c r="J20" s="9"/>
      <c r="K20" s="6"/>
      <c r="L20" s="6"/>
      <c r="M20" s="6"/>
      <c r="N20" s="6"/>
      <c r="O20" s="6"/>
      <c r="P20" s="6"/>
    </row>
    <row r="21" spans="1:16" ht="17">
      <c r="A21" s="25"/>
      <c r="B21" s="2" t="s">
        <v>87</v>
      </c>
      <c r="C21" s="22"/>
      <c r="D21" s="2" t="s">
        <v>88</v>
      </c>
      <c r="E21" s="10" t="s">
        <v>85</v>
      </c>
      <c r="F21" s="2" t="s">
        <v>89</v>
      </c>
      <c r="G21" s="8" t="s">
        <v>61</v>
      </c>
      <c r="H21" s="6"/>
      <c r="I21" s="6"/>
      <c r="J21" s="9"/>
      <c r="K21" s="6"/>
      <c r="L21" s="6"/>
      <c r="M21" s="6"/>
      <c r="N21" s="6"/>
      <c r="O21" s="6"/>
      <c r="P21" s="6"/>
    </row>
    <row r="22" spans="1:16" ht="17">
      <c r="A22" s="25"/>
      <c r="B22" s="2" t="s">
        <v>90</v>
      </c>
      <c r="C22" s="22"/>
      <c r="D22" s="2" t="s">
        <v>91</v>
      </c>
      <c r="E22" s="10" t="s">
        <v>85</v>
      </c>
      <c r="F22" s="2" t="s">
        <v>92</v>
      </c>
      <c r="G22" s="8" t="s">
        <v>61</v>
      </c>
      <c r="H22" s="6"/>
      <c r="I22" s="6"/>
      <c r="J22" s="6"/>
      <c r="K22" s="9"/>
      <c r="L22" s="6"/>
      <c r="M22" s="6"/>
      <c r="N22" s="6"/>
      <c r="O22" s="6"/>
      <c r="P22" s="6"/>
    </row>
    <row r="23" spans="1:16" ht="17">
      <c r="A23" s="25"/>
      <c r="B23" s="2" t="s">
        <v>93</v>
      </c>
      <c r="C23" s="22"/>
      <c r="D23" s="2" t="s">
        <v>94</v>
      </c>
      <c r="E23" s="10" t="s">
        <v>85</v>
      </c>
      <c r="F23" s="2" t="s">
        <v>95</v>
      </c>
      <c r="G23" s="8" t="s">
        <v>61</v>
      </c>
      <c r="H23" s="6"/>
      <c r="I23" s="6"/>
      <c r="J23" s="9"/>
      <c r="K23" s="6"/>
      <c r="L23" s="6"/>
      <c r="M23" s="6"/>
      <c r="N23" s="6"/>
      <c r="O23" s="6"/>
      <c r="P23" s="6"/>
    </row>
    <row r="24" spans="1:16" ht="17">
      <c r="A24" s="25"/>
      <c r="B24" s="2" t="s">
        <v>96</v>
      </c>
      <c r="C24" s="22"/>
      <c r="D24" s="2" t="s">
        <v>97</v>
      </c>
      <c r="E24" s="10" t="s">
        <v>85</v>
      </c>
      <c r="F24" s="2" t="s">
        <v>98</v>
      </c>
      <c r="G24" s="8" t="s">
        <v>61</v>
      </c>
      <c r="H24" s="6"/>
      <c r="I24" s="6"/>
      <c r="J24" s="9"/>
      <c r="K24" s="6"/>
      <c r="L24" s="6"/>
      <c r="M24" s="6"/>
      <c r="N24" s="6"/>
      <c r="O24" s="6"/>
      <c r="P24" s="6"/>
    </row>
    <row r="25" spans="1:16" ht="17">
      <c r="A25" s="25"/>
      <c r="B25" s="2" t="s">
        <v>99</v>
      </c>
      <c r="C25" s="22"/>
      <c r="D25" s="2" t="s">
        <v>100</v>
      </c>
      <c r="E25" s="10" t="s">
        <v>85</v>
      </c>
      <c r="F25" s="2" t="s">
        <v>101</v>
      </c>
      <c r="G25" s="8" t="s">
        <v>61</v>
      </c>
      <c r="H25" s="6"/>
      <c r="I25" s="6"/>
      <c r="J25" s="6"/>
      <c r="K25" s="9"/>
      <c r="L25" s="6"/>
      <c r="M25" s="6"/>
      <c r="N25" s="6"/>
      <c r="O25" s="6"/>
      <c r="P25" s="6"/>
    </row>
    <row r="26" spans="1:16" ht="17">
      <c r="A26" s="25"/>
      <c r="B26" s="2" t="s">
        <v>102</v>
      </c>
      <c r="C26" s="22"/>
      <c r="D26" s="2" t="s">
        <v>103</v>
      </c>
      <c r="E26" s="10" t="s">
        <v>85</v>
      </c>
      <c r="F26" s="2" t="s">
        <v>104</v>
      </c>
      <c r="G26" s="8" t="s">
        <v>61</v>
      </c>
      <c r="H26" s="6"/>
      <c r="I26" s="6"/>
      <c r="J26" s="6"/>
      <c r="K26" s="9"/>
      <c r="L26" s="6"/>
      <c r="M26" s="6"/>
      <c r="N26" s="6"/>
      <c r="O26" s="6"/>
      <c r="P26" s="6"/>
    </row>
    <row r="27" spans="1:16" ht="17">
      <c r="A27" s="25"/>
      <c r="B27" s="2" t="s">
        <v>105</v>
      </c>
      <c r="C27" s="22"/>
      <c r="D27" s="2" t="s">
        <v>106</v>
      </c>
      <c r="E27" s="10" t="s">
        <v>85</v>
      </c>
      <c r="F27" s="2" t="s">
        <v>107</v>
      </c>
      <c r="G27" s="8" t="s">
        <v>61</v>
      </c>
      <c r="H27" s="6"/>
      <c r="I27" s="6"/>
      <c r="J27" s="6"/>
      <c r="K27" s="9"/>
      <c r="L27" s="6"/>
      <c r="M27" s="6"/>
      <c r="N27" s="6"/>
      <c r="O27" s="6"/>
      <c r="P27" s="6"/>
    </row>
    <row r="28" spans="1:16" ht="17">
      <c r="A28" s="25"/>
      <c r="B28" s="2" t="s">
        <v>108</v>
      </c>
      <c r="C28" s="22"/>
      <c r="D28" s="2" t="s">
        <v>109</v>
      </c>
      <c r="E28" s="10" t="s">
        <v>85</v>
      </c>
      <c r="F28" s="2" t="s">
        <v>110</v>
      </c>
      <c r="G28" s="8" t="s">
        <v>61</v>
      </c>
      <c r="H28" s="6"/>
      <c r="I28" s="6"/>
      <c r="J28" s="6"/>
      <c r="K28" s="9"/>
      <c r="L28" s="6"/>
      <c r="M28" s="6"/>
      <c r="N28" s="6"/>
      <c r="O28" s="6"/>
      <c r="P28" s="6"/>
    </row>
    <row r="29" spans="1:16" ht="17">
      <c r="A29" s="26"/>
      <c r="B29" s="2" t="s">
        <v>111</v>
      </c>
      <c r="C29" s="23"/>
      <c r="D29" s="2" t="s">
        <v>112</v>
      </c>
      <c r="E29" s="10" t="s">
        <v>85</v>
      </c>
      <c r="F29" s="2" t="s">
        <v>113</v>
      </c>
      <c r="G29" s="8" t="s">
        <v>61</v>
      </c>
      <c r="H29" s="6"/>
      <c r="I29" s="6"/>
      <c r="J29" s="6"/>
      <c r="K29" s="9"/>
      <c r="L29" s="6"/>
      <c r="M29" s="6"/>
      <c r="N29" s="6"/>
      <c r="O29" s="6"/>
      <c r="P29" s="6"/>
    </row>
    <row r="30" spans="1:16" ht="17">
      <c r="A30" s="24" t="s">
        <v>114</v>
      </c>
      <c r="B30" s="2" t="s">
        <v>115</v>
      </c>
      <c r="C30" s="21" t="s">
        <v>116</v>
      </c>
      <c r="D30" s="2" t="s">
        <v>117</v>
      </c>
      <c r="E30" s="3" t="s">
        <v>20</v>
      </c>
      <c r="F30" s="2" t="s">
        <v>118</v>
      </c>
      <c r="G30" s="8" t="s">
        <v>61</v>
      </c>
      <c r="H30" s="6"/>
      <c r="I30" s="6"/>
      <c r="J30" s="6"/>
      <c r="K30" s="11"/>
      <c r="L30" s="6"/>
      <c r="M30" s="6"/>
      <c r="N30" s="6"/>
      <c r="O30" s="6"/>
      <c r="P30" s="6"/>
    </row>
    <row r="31" spans="1:16" ht="17">
      <c r="A31" s="25"/>
      <c r="B31" s="2" t="s">
        <v>119</v>
      </c>
      <c r="C31" s="22"/>
      <c r="D31" s="2" t="s">
        <v>120</v>
      </c>
      <c r="E31" s="10" t="s">
        <v>85</v>
      </c>
      <c r="F31" s="2" t="s">
        <v>121</v>
      </c>
      <c r="G31" s="8" t="s">
        <v>61</v>
      </c>
      <c r="H31" s="6"/>
      <c r="I31" s="6"/>
      <c r="J31" s="6"/>
      <c r="K31" s="11"/>
      <c r="L31" s="6"/>
      <c r="M31" s="6"/>
      <c r="N31" s="6"/>
      <c r="O31" s="6"/>
      <c r="P31" s="6"/>
    </row>
    <row r="32" spans="1:16" ht="17">
      <c r="A32" s="25"/>
      <c r="B32" s="2" t="s">
        <v>122</v>
      </c>
      <c r="C32" s="22"/>
      <c r="D32" s="2" t="s">
        <v>123</v>
      </c>
      <c r="E32" s="3" t="s">
        <v>20</v>
      </c>
      <c r="F32" s="2" t="s">
        <v>124</v>
      </c>
      <c r="G32" s="8" t="s">
        <v>61</v>
      </c>
      <c r="H32" s="6"/>
      <c r="I32" s="6"/>
      <c r="J32" s="6"/>
      <c r="K32" s="11"/>
      <c r="L32" s="6"/>
      <c r="M32" s="6"/>
      <c r="N32" s="6"/>
      <c r="O32" s="6"/>
      <c r="P32" s="6"/>
    </row>
    <row r="33" spans="1:16" ht="17">
      <c r="A33" s="25"/>
      <c r="B33" s="2" t="s">
        <v>125</v>
      </c>
      <c r="C33" s="23"/>
      <c r="D33" s="2" t="s">
        <v>126</v>
      </c>
      <c r="E33" s="3" t="s">
        <v>20</v>
      </c>
      <c r="F33" s="2" t="s">
        <v>127</v>
      </c>
      <c r="G33" s="8" t="s">
        <v>61</v>
      </c>
      <c r="H33" s="6"/>
      <c r="I33" s="6"/>
      <c r="J33" s="6"/>
      <c r="K33" s="11"/>
      <c r="L33" s="6"/>
      <c r="M33" s="6"/>
      <c r="N33" s="6"/>
      <c r="O33" s="6"/>
      <c r="P33" s="6"/>
    </row>
    <row r="34" spans="1:16" ht="17">
      <c r="A34" s="25"/>
      <c r="B34" s="2" t="s">
        <v>128</v>
      </c>
      <c r="C34" s="21" t="s">
        <v>129</v>
      </c>
      <c r="D34" s="2" t="s">
        <v>130</v>
      </c>
      <c r="E34" s="10" t="s">
        <v>85</v>
      </c>
      <c r="F34" s="2" t="s">
        <v>131</v>
      </c>
      <c r="G34" s="8" t="s">
        <v>61</v>
      </c>
      <c r="H34" s="6"/>
      <c r="I34" s="6"/>
      <c r="J34" s="6"/>
      <c r="K34" s="6"/>
      <c r="L34" s="11"/>
      <c r="M34" s="6"/>
      <c r="N34" s="6"/>
      <c r="O34" s="6"/>
      <c r="P34" s="6"/>
    </row>
    <row r="35" spans="1:16" ht="17">
      <c r="A35" s="25"/>
      <c r="B35" s="2" t="s">
        <v>132</v>
      </c>
      <c r="C35" s="22"/>
      <c r="D35" s="2" t="s">
        <v>133</v>
      </c>
      <c r="E35" s="10" t="s">
        <v>85</v>
      </c>
      <c r="F35" s="2" t="s">
        <v>134</v>
      </c>
      <c r="G35" s="8" t="s">
        <v>61</v>
      </c>
      <c r="H35" s="6"/>
      <c r="I35" s="6"/>
      <c r="J35" s="6"/>
      <c r="K35" s="6"/>
      <c r="L35" s="11"/>
      <c r="M35" s="6"/>
      <c r="N35" s="6"/>
      <c r="O35" s="6"/>
      <c r="P35" s="6"/>
    </row>
    <row r="36" spans="1:16" ht="17">
      <c r="A36" s="25"/>
      <c r="B36" s="2" t="s">
        <v>135</v>
      </c>
      <c r="C36" s="22"/>
      <c r="D36" s="2" t="s">
        <v>136</v>
      </c>
      <c r="E36" s="10" t="s">
        <v>85</v>
      </c>
      <c r="F36" s="2" t="s">
        <v>137</v>
      </c>
      <c r="G36" s="8" t="s">
        <v>61</v>
      </c>
      <c r="H36" s="6"/>
      <c r="I36" s="6"/>
      <c r="J36" s="6"/>
      <c r="K36" s="6"/>
      <c r="L36" s="11"/>
      <c r="M36" s="6"/>
      <c r="N36" s="6"/>
      <c r="O36" s="6"/>
      <c r="P36" s="6"/>
    </row>
    <row r="37" spans="1:16" ht="17">
      <c r="A37" s="25"/>
      <c r="B37" s="2" t="s">
        <v>138</v>
      </c>
      <c r="C37" s="22"/>
      <c r="D37" s="2" t="s">
        <v>139</v>
      </c>
      <c r="E37" s="7" t="s">
        <v>59</v>
      </c>
      <c r="F37" s="2" t="s">
        <v>140</v>
      </c>
      <c r="G37" s="8" t="s">
        <v>61</v>
      </c>
      <c r="H37" s="6"/>
      <c r="I37" s="6"/>
      <c r="J37" s="6"/>
      <c r="K37" s="6"/>
      <c r="L37" s="11"/>
      <c r="M37" s="6"/>
      <c r="N37" s="6"/>
      <c r="O37" s="6"/>
      <c r="P37" s="6"/>
    </row>
    <row r="38" spans="1:16" ht="17">
      <c r="A38" s="25"/>
      <c r="B38" s="2" t="s">
        <v>141</v>
      </c>
      <c r="C38" s="23"/>
      <c r="D38" s="2" t="s">
        <v>142</v>
      </c>
      <c r="E38" s="7" t="s">
        <v>59</v>
      </c>
      <c r="F38" s="2" t="s">
        <v>38</v>
      </c>
      <c r="G38" s="8" t="s">
        <v>61</v>
      </c>
      <c r="H38" s="6"/>
      <c r="I38" s="6"/>
      <c r="J38" s="6"/>
      <c r="K38" s="6"/>
      <c r="L38" s="11"/>
      <c r="M38" s="6"/>
      <c r="N38" s="6"/>
      <c r="O38" s="6"/>
      <c r="P38" s="6"/>
    </row>
    <row r="39" spans="1:16" ht="17">
      <c r="A39" s="25"/>
      <c r="B39" s="2" t="s">
        <v>143</v>
      </c>
      <c r="C39" s="21" t="s">
        <v>144</v>
      </c>
      <c r="D39" s="2" t="s">
        <v>145</v>
      </c>
      <c r="E39" s="10" t="s">
        <v>85</v>
      </c>
      <c r="F39" s="2" t="s">
        <v>146</v>
      </c>
      <c r="G39" s="8" t="s">
        <v>61</v>
      </c>
      <c r="H39" s="6"/>
      <c r="I39" s="6"/>
      <c r="J39" s="6"/>
      <c r="K39" s="6"/>
      <c r="L39" s="6"/>
      <c r="M39" s="11"/>
      <c r="N39" s="6"/>
      <c r="O39" s="6"/>
      <c r="P39" s="6"/>
    </row>
    <row r="40" spans="1:16" ht="17">
      <c r="A40" s="25"/>
      <c r="B40" s="2" t="s">
        <v>147</v>
      </c>
      <c r="C40" s="22"/>
      <c r="D40" s="2" t="s">
        <v>148</v>
      </c>
      <c r="E40" s="10" t="s">
        <v>85</v>
      </c>
      <c r="F40" s="2" t="s">
        <v>149</v>
      </c>
      <c r="G40" s="8" t="s">
        <v>61</v>
      </c>
      <c r="H40" s="6"/>
      <c r="I40" s="6"/>
      <c r="J40" s="6"/>
      <c r="K40" s="6"/>
      <c r="L40" s="6"/>
      <c r="M40" s="11"/>
      <c r="N40" s="6"/>
      <c r="O40" s="6"/>
      <c r="P40" s="6"/>
    </row>
    <row r="41" spans="1:16" ht="17">
      <c r="A41" s="25"/>
      <c r="B41" s="2" t="s">
        <v>150</v>
      </c>
      <c r="C41" s="22"/>
      <c r="D41" s="2" t="s">
        <v>151</v>
      </c>
      <c r="E41" s="7" t="s">
        <v>59</v>
      </c>
      <c r="F41" s="2" t="s">
        <v>152</v>
      </c>
      <c r="G41" s="8" t="s">
        <v>61</v>
      </c>
      <c r="H41" s="6"/>
      <c r="I41" s="6"/>
      <c r="J41" s="6"/>
      <c r="K41" s="6"/>
      <c r="L41" s="6"/>
      <c r="M41" s="11"/>
      <c r="N41" s="6"/>
      <c r="O41" s="6"/>
      <c r="P41" s="6"/>
    </row>
    <row r="42" spans="1:16" ht="17">
      <c r="A42" s="26"/>
      <c r="B42" s="2" t="s">
        <v>153</v>
      </c>
      <c r="C42" s="23"/>
      <c r="D42" s="2" t="s">
        <v>154</v>
      </c>
      <c r="E42" s="7" t="s">
        <v>59</v>
      </c>
      <c r="F42" s="2" t="s">
        <v>155</v>
      </c>
      <c r="G42" s="8" t="s">
        <v>61</v>
      </c>
      <c r="H42" s="6"/>
      <c r="I42" s="6"/>
      <c r="J42" s="6"/>
      <c r="K42" s="6"/>
      <c r="L42" s="6"/>
      <c r="M42" s="11"/>
      <c r="N42" s="6"/>
      <c r="O42" s="6"/>
      <c r="P42" s="6"/>
    </row>
    <row r="43" spans="1:16" ht="17">
      <c r="A43" s="29" t="s">
        <v>156</v>
      </c>
      <c r="B43" s="2" t="s">
        <v>157</v>
      </c>
      <c r="C43" s="21" t="s">
        <v>158</v>
      </c>
      <c r="D43" s="2" t="s">
        <v>159</v>
      </c>
      <c r="E43" s="10" t="s">
        <v>85</v>
      </c>
      <c r="F43" s="2" t="s">
        <v>160</v>
      </c>
      <c r="G43" s="8" t="s">
        <v>61</v>
      </c>
      <c r="H43" s="6"/>
      <c r="I43" s="6"/>
      <c r="J43" s="6"/>
      <c r="K43" s="6"/>
      <c r="L43" s="6"/>
      <c r="M43" s="12"/>
      <c r="N43" s="12"/>
      <c r="O43" s="6"/>
      <c r="P43" s="6"/>
    </row>
    <row r="44" spans="1:16" ht="17">
      <c r="A44" s="25"/>
      <c r="B44" s="2" t="s">
        <v>161</v>
      </c>
      <c r="C44" s="23"/>
      <c r="D44" s="2" t="s">
        <v>162</v>
      </c>
      <c r="E44" s="10" t="s">
        <v>85</v>
      </c>
      <c r="F44" s="2" t="s">
        <v>163</v>
      </c>
      <c r="G44" s="8" t="s">
        <v>61</v>
      </c>
      <c r="H44" s="6"/>
      <c r="I44" s="6"/>
      <c r="J44" s="6"/>
      <c r="K44" s="6"/>
      <c r="L44" s="6"/>
      <c r="M44" s="12"/>
      <c r="N44" s="12"/>
      <c r="O44" s="6"/>
      <c r="P44" s="6"/>
    </row>
    <row r="45" spans="1:16" ht="17">
      <c r="A45" s="25"/>
      <c r="B45" s="2" t="s">
        <v>164</v>
      </c>
      <c r="C45" s="21" t="s">
        <v>165</v>
      </c>
      <c r="D45" s="2" t="s">
        <v>166</v>
      </c>
      <c r="E45" s="7" t="s">
        <v>59</v>
      </c>
      <c r="F45" s="2" t="s">
        <v>167</v>
      </c>
      <c r="G45" s="8" t="s">
        <v>61</v>
      </c>
      <c r="H45" s="6"/>
      <c r="I45" s="6"/>
      <c r="J45" s="6"/>
      <c r="K45" s="6"/>
      <c r="L45" s="6"/>
      <c r="M45" s="6"/>
      <c r="N45" s="12"/>
      <c r="O45" s="6"/>
      <c r="P45" s="6"/>
    </row>
    <row r="46" spans="1:16" ht="17">
      <c r="A46" s="25"/>
      <c r="B46" s="2" t="s">
        <v>168</v>
      </c>
      <c r="C46" s="22"/>
      <c r="D46" s="2" t="s">
        <v>169</v>
      </c>
      <c r="E46" s="10" t="s">
        <v>85</v>
      </c>
      <c r="F46" s="2" t="s">
        <v>170</v>
      </c>
      <c r="G46" s="8" t="s">
        <v>61</v>
      </c>
      <c r="H46" s="6"/>
      <c r="I46" s="6"/>
      <c r="J46" s="6"/>
      <c r="K46" s="6"/>
      <c r="L46" s="6"/>
      <c r="M46" s="6"/>
      <c r="N46" s="12"/>
      <c r="O46" s="12"/>
      <c r="P46" s="6"/>
    </row>
    <row r="47" spans="1:16" ht="17">
      <c r="A47" s="25"/>
      <c r="B47" s="2" t="s">
        <v>171</v>
      </c>
      <c r="C47" s="22"/>
      <c r="D47" s="2" t="s">
        <v>172</v>
      </c>
      <c r="E47" s="10" t="s">
        <v>85</v>
      </c>
      <c r="F47" s="2" t="s">
        <v>173</v>
      </c>
      <c r="G47" s="8" t="s">
        <v>61</v>
      </c>
      <c r="H47" s="6"/>
      <c r="I47" s="6"/>
      <c r="J47" s="6"/>
      <c r="K47" s="6"/>
      <c r="L47" s="6"/>
      <c r="M47" s="6"/>
      <c r="N47" s="12"/>
      <c r="O47" s="12"/>
      <c r="P47" s="6"/>
    </row>
    <row r="48" spans="1:16" ht="17">
      <c r="A48" s="25"/>
      <c r="B48" s="2" t="s">
        <v>174</v>
      </c>
      <c r="C48" s="23"/>
      <c r="D48" s="2" t="s">
        <v>175</v>
      </c>
      <c r="E48" s="7" t="s">
        <v>59</v>
      </c>
      <c r="F48" s="2" t="s">
        <v>176</v>
      </c>
      <c r="G48" s="8" t="s">
        <v>61</v>
      </c>
      <c r="H48" s="6"/>
      <c r="I48" s="6"/>
      <c r="J48" s="6"/>
      <c r="K48" s="6"/>
      <c r="L48" s="6"/>
      <c r="M48" s="6"/>
      <c r="N48" s="12"/>
      <c r="O48" s="6"/>
      <c r="P48" s="6"/>
    </row>
    <row r="49" spans="1:16" ht="17">
      <c r="A49" s="25"/>
      <c r="B49" s="2" t="s">
        <v>177</v>
      </c>
      <c r="C49" s="21" t="s">
        <v>178</v>
      </c>
      <c r="D49" s="2" t="s">
        <v>179</v>
      </c>
      <c r="E49" s="10" t="s">
        <v>85</v>
      </c>
      <c r="F49" s="2" t="s">
        <v>98</v>
      </c>
      <c r="G49" s="8" t="s">
        <v>61</v>
      </c>
      <c r="H49" s="6"/>
      <c r="I49" s="6"/>
      <c r="J49" s="6"/>
      <c r="K49" s="6"/>
      <c r="L49" s="6"/>
      <c r="M49" s="6"/>
      <c r="N49" s="6"/>
      <c r="O49" s="12"/>
      <c r="P49" s="6"/>
    </row>
    <row r="50" spans="1:16" ht="17">
      <c r="A50" s="25"/>
      <c r="B50" s="2" t="s">
        <v>180</v>
      </c>
      <c r="C50" s="22"/>
      <c r="D50" s="2" t="s">
        <v>181</v>
      </c>
      <c r="E50" s="10" t="s">
        <v>85</v>
      </c>
      <c r="F50" s="2" t="s">
        <v>182</v>
      </c>
      <c r="G50" s="8" t="s">
        <v>61</v>
      </c>
      <c r="H50" s="6"/>
      <c r="I50" s="6"/>
      <c r="J50" s="6"/>
      <c r="K50" s="6"/>
      <c r="L50" s="6"/>
      <c r="M50" s="6"/>
      <c r="N50" s="6"/>
      <c r="O50" s="12"/>
      <c r="P50" s="6"/>
    </row>
    <row r="51" spans="1:16" ht="17">
      <c r="A51" s="25"/>
      <c r="B51" s="2" t="s">
        <v>183</v>
      </c>
      <c r="C51" s="22"/>
      <c r="D51" s="2" t="s">
        <v>184</v>
      </c>
      <c r="E51" s="10" t="s">
        <v>85</v>
      </c>
      <c r="F51" s="2" t="s">
        <v>185</v>
      </c>
      <c r="G51" s="8" t="s">
        <v>61</v>
      </c>
      <c r="H51" s="6"/>
      <c r="I51" s="6"/>
      <c r="J51" s="6"/>
      <c r="K51" s="6"/>
      <c r="L51" s="6"/>
      <c r="M51" s="6"/>
      <c r="N51" s="6"/>
      <c r="O51" s="12"/>
      <c r="P51" s="12"/>
    </row>
    <row r="52" spans="1:16" ht="17">
      <c r="A52" s="25"/>
      <c r="B52" s="2" t="s">
        <v>186</v>
      </c>
      <c r="C52" s="23"/>
      <c r="D52" s="2" t="s">
        <v>187</v>
      </c>
      <c r="E52" s="7" t="s">
        <v>59</v>
      </c>
      <c r="F52" s="2" t="s">
        <v>188</v>
      </c>
      <c r="G52" s="8" t="s">
        <v>61</v>
      </c>
      <c r="H52" s="6"/>
      <c r="I52" s="6"/>
      <c r="J52" s="6"/>
      <c r="K52" s="6"/>
      <c r="L52" s="6"/>
      <c r="M52" s="6"/>
      <c r="N52" s="6"/>
      <c r="O52" s="12"/>
      <c r="P52" s="6"/>
    </row>
    <row r="53" spans="1:16" ht="17">
      <c r="A53" s="25"/>
      <c r="B53" s="2" t="s">
        <v>189</v>
      </c>
      <c r="C53" s="21" t="s">
        <v>190</v>
      </c>
      <c r="D53" s="2" t="s">
        <v>191</v>
      </c>
      <c r="E53" s="10" t="s">
        <v>85</v>
      </c>
      <c r="F53" s="2" t="s">
        <v>192</v>
      </c>
      <c r="G53" s="8" t="s">
        <v>61</v>
      </c>
      <c r="H53" s="6"/>
      <c r="I53" s="6"/>
      <c r="J53" s="6"/>
      <c r="K53" s="6"/>
      <c r="L53" s="6"/>
      <c r="M53" s="6"/>
      <c r="N53" s="6"/>
      <c r="O53" s="6"/>
      <c r="P53" s="12"/>
    </row>
    <row r="54" spans="1:16" ht="17">
      <c r="A54" s="26"/>
      <c r="B54" s="2" t="s">
        <v>193</v>
      </c>
      <c r="C54" s="23"/>
      <c r="D54" s="2" t="s">
        <v>194</v>
      </c>
      <c r="E54" s="7" t="s">
        <v>59</v>
      </c>
      <c r="F54" s="2" t="s">
        <v>64</v>
      </c>
      <c r="G54" s="8" t="s">
        <v>61</v>
      </c>
      <c r="H54" s="6"/>
      <c r="I54" s="6"/>
      <c r="J54" s="6"/>
      <c r="K54" s="6"/>
      <c r="L54" s="6"/>
      <c r="M54" s="6"/>
      <c r="N54" s="6"/>
      <c r="O54" s="6"/>
      <c r="P54" s="12"/>
    </row>
    <row r="57" spans="1:16">
      <c r="A57" t="s">
        <v>195</v>
      </c>
    </row>
    <row r="58" spans="1:16" ht="16">
      <c r="A58" s="13" t="s">
        <v>196</v>
      </c>
    </row>
    <row r="59" spans="1:16" ht="16">
      <c r="A59" s="14" t="s">
        <v>197</v>
      </c>
    </row>
    <row r="60" spans="1:16" ht="16">
      <c r="A60" s="15" t="s">
        <v>198</v>
      </c>
    </row>
    <row r="61" spans="1:16" ht="16">
      <c r="A61" s="16" t="s">
        <v>199</v>
      </c>
    </row>
  </sheetData>
  <mergeCells count="17">
    <mergeCell ref="C45:C48"/>
    <mergeCell ref="A2:A11"/>
    <mergeCell ref="C49:C52"/>
    <mergeCell ref="C5:C6"/>
    <mergeCell ref="C53:C54"/>
    <mergeCell ref="C10:C11"/>
    <mergeCell ref="C7:C9"/>
    <mergeCell ref="C30:C33"/>
    <mergeCell ref="C43:C44"/>
    <mergeCell ref="A12:A29"/>
    <mergeCell ref="A43:A54"/>
    <mergeCell ref="C39:C42"/>
    <mergeCell ref="C12:C19"/>
    <mergeCell ref="C34:C38"/>
    <mergeCell ref="A30:A42"/>
    <mergeCell ref="C20:C29"/>
    <mergeCell ref="C2:C4"/>
  </mergeCells>
  <phoneticPr fontId="8" type="noConversion"/>
  <conditionalFormatting sqref="B2:B54 D2:F54">
    <cfRule type="expression" dxfId="40" priority="1">
      <formula>$G2="完了"</formula>
    </cfRule>
  </conditionalFormatting>
  <conditionalFormatting sqref="C2:C4">
    <cfRule type="expression" dxfId="39" priority="3">
      <formula>COUNTIF($G$2:$G$4,"完了")=ROWS($G$2:$G$4)</formula>
    </cfRule>
  </conditionalFormatting>
  <conditionalFormatting sqref="C7:C9">
    <cfRule type="expression" dxfId="38" priority="5">
      <formula>COUNTIF($G$7:$G$9,"完了")=ROWS($G$7:$G$9)</formula>
    </cfRule>
  </conditionalFormatting>
  <conditionalFormatting sqref="C10:C11">
    <cfRule type="expression" dxfId="37" priority="6">
      <formula>COUNTIF($G$10:$G$11,"完了")=ROWS($G$10:$G$11)</formula>
    </cfRule>
  </conditionalFormatting>
  <conditionalFormatting sqref="C12:C19">
    <cfRule type="expression" dxfId="36" priority="7">
      <formula>COUNTIF($G$12:$G$19,"完了")=ROWS($G$12:$G$19)</formula>
    </cfRule>
  </conditionalFormatting>
  <conditionalFormatting sqref="C20:C29">
    <cfRule type="expression" dxfId="35" priority="8">
      <formula>COUNTIF($G$20:$G$29,"完了")=ROWS($G$20:$G$29)</formula>
    </cfRule>
  </conditionalFormatting>
  <conditionalFormatting sqref="C30:C33">
    <cfRule type="expression" dxfId="34" priority="9">
      <formula>COUNTIF($G$30:$G$33,"完了")=ROWS($G$30:$G$33)</formula>
    </cfRule>
  </conditionalFormatting>
  <conditionalFormatting sqref="C34:C38">
    <cfRule type="expression" dxfId="33" priority="10">
      <formula>COUNTIF($G$34:$G$38,"完了")=ROWS($G$34:$G$38)</formula>
    </cfRule>
  </conditionalFormatting>
  <conditionalFormatting sqref="C39:C42">
    <cfRule type="expression" dxfId="32" priority="11">
      <formula>COUNTIF($G$39:$G$42,"完了")=ROWS($G$39:$G$42)</formula>
    </cfRule>
  </conditionalFormatting>
  <conditionalFormatting sqref="C43:C44">
    <cfRule type="expression" dxfId="31" priority="12">
      <formula>COUNTIF($G$43:$G$44,"完了")=ROWS($G$43:$G$44)</formula>
    </cfRule>
  </conditionalFormatting>
  <conditionalFormatting sqref="C45:C48">
    <cfRule type="expression" dxfId="30" priority="13">
      <formula>COUNTIF($G$45:$G$48,"完了")=ROWS($G$45:$G$48)</formula>
    </cfRule>
  </conditionalFormatting>
  <conditionalFormatting sqref="C49:C52">
    <cfRule type="expression" dxfId="29" priority="14">
      <formula>COUNTIF($G$49:$G$52,"完了")=ROWS($G$49:$G$52)</formula>
    </cfRule>
  </conditionalFormatting>
  <conditionalFormatting sqref="C53:C54">
    <cfRule type="expression" dxfId="28" priority="15">
      <formula>COUNTIF($G$53:$G$54,"完了")=ROWS($G$53:$G$54)</formula>
    </cfRule>
  </conditionalFormatting>
  <conditionalFormatting sqref="C5:C6">
    <cfRule type="expression" dxfId="0" priority="18">
      <formula>COUNTIF($G$5:$G$6,"完了")=ROWS($G$5:$G$6)</formula>
    </cfRule>
  </conditionalFormatting>
  <dataValidations count="1">
    <dataValidation type="list" allowBlank="1" sqref="G2:G54" xr:uid="{00000000-0002-0000-0000-000000000000}">
      <formula1>"未開始,進行中,完了,ブロック"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5</v>
      </c>
      <c r="G1" s="1" t="s">
        <v>6</v>
      </c>
    </row>
    <row r="2" spans="1:7" ht="17">
      <c r="A2" s="27" t="s">
        <v>16</v>
      </c>
      <c r="B2" s="2" t="s">
        <v>17</v>
      </c>
      <c r="C2" s="21" t="s">
        <v>18</v>
      </c>
      <c r="D2" s="2" t="s">
        <v>19</v>
      </c>
      <c r="E2" s="2" t="s">
        <v>7</v>
      </c>
      <c r="F2" s="2" t="s">
        <v>21</v>
      </c>
      <c r="G2" s="2" t="str">
        <f>VLOOKUP(B2,ガントチャート!$B$2:$G$54,6,FALSE)</f>
        <v>完了</v>
      </c>
    </row>
    <row r="3" spans="1:7" ht="17">
      <c r="A3" s="25"/>
      <c r="B3" s="2" t="s">
        <v>23</v>
      </c>
      <c r="C3" s="22"/>
      <c r="D3" s="2" t="s">
        <v>24</v>
      </c>
      <c r="E3" s="2" t="s">
        <v>201</v>
      </c>
      <c r="F3" s="2" t="s">
        <v>25</v>
      </c>
      <c r="G3" s="2" t="str">
        <f>VLOOKUP(B3,ガントチャート!$B$2:$G$54,6,FALSE)</f>
        <v>完了</v>
      </c>
    </row>
    <row r="4" spans="1:7" ht="17">
      <c r="A4" s="25"/>
      <c r="B4" s="2" t="s">
        <v>26</v>
      </c>
      <c r="C4" s="23"/>
      <c r="D4" s="2" t="s">
        <v>27</v>
      </c>
      <c r="E4" s="2" t="s">
        <v>8</v>
      </c>
      <c r="F4" s="2" t="s">
        <v>28</v>
      </c>
      <c r="G4" s="2" t="str">
        <f>VLOOKUP(B4,ガントチャート!$B$2:$G$54,6,FALSE)</f>
        <v>完了</v>
      </c>
    </row>
    <row r="5" spans="1:7" ht="17">
      <c r="A5" s="25"/>
      <c r="B5" s="2" t="s">
        <v>29</v>
      </c>
      <c r="C5" s="21" t="s">
        <v>30</v>
      </c>
      <c r="D5" s="2" t="s">
        <v>31</v>
      </c>
      <c r="E5" s="2" t="s">
        <v>7</v>
      </c>
      <c r="F5" s="2" t="s">
        <v>32</v>
      </c>
      <c r="G5" s="2" t="str">
        <f>VLOOKUP(B5,ガントチャート!$B$2:$G$54,6,FALSE)</f>
        <v>完了</v>
      </c>
    </row>
    <row r="6" spans="1:7" ht="17">
      <c r="A6" s="25"/>
      <c r="B6" s="2" t="s">
        <v>33</v>
      </c>
      <c r="C6" s="22"/>
      <c r="D6" s="2" t="s">
        <v>34</v>
      </c>
      <c r="E6" s="2" t="s">
        <v>201</v>
      </c>
      <c r="F6" s="2" t="s">
        <v>35</v>
      </c>
      <c r="G6" s="2" t="str">
        <f>VLOOKUP(B6,ガントチャート!$B$2:$G$54,6,FALSE)</f>
        <v>完了</v>
      </c>
    </row>
    <row r="7" spans="1:7" ht="17">
      <c r="A7" s="25"/>
      <c r="B7" s="2" t="s">
        <v>36</v>
      </c>
      <c r="C7" s="23"/>
      <c r="D7" s="2" t="s">
        <v>37</v>
      </c>
      <c r="E7" s="2" t="s">
        <v>8</v>
      </c>
      <c r="F7" s="2" t="s">
        <v>38</v>
      </c>
      <c r="G7" s="2" t="e">
        <f>VLOOKUP(B7,ガントチャート!$B$2:$G$54,6,FALSE)</f>
        <v>#N/A</v>
      </c>
    </row>
    <row r="8" spans="1:7" ht="17">
      <c r="A8" s="25"/>
      <c r="B8" s="2" t="s">
        <v>39</v>
      </c>
      <c r="C8" s="21" t="s">
        <v>40</v>
      </c>
      <c r="D8" s="2" t="s">
        <v>41</v>
      </c>
      <c r="E8" s="2" t="s">
        <v>7</v>
      </c>
      <c r="F8" s="2" t="s">
        <v>42</v>
      </c>
      <c r="G8" s="2" t="str">
        <f>VLOOKUP(B8,ガントチャート!$B$2:$G$54,6,FALSE)</f>
        <v>完了</v>
      </c>
    </row>
    <row r="9" spans="1:7" ht="17">
      <c r="A9" s="25"/>
      <c r="B9" s="2" t="s">
        <v>43</v>
      </c>
      <c r="C9" s="22"/>
      <c r="D9" s="2" t="s">
        <v>44</v>
      </c>
      <c r="E9" s="2" t="s">
        <v>8</v>
      </c>
      <c r="F9" s="2" t="s">
        <v>45</v>
      </c>
      <c r="G9" s="2" t="str">
        <f>VLOOKUP(B9,ガントチャート!$B$2:$G$54,6,FALSE)</f>
        <v>完了</v>
      </c>
    </row>
    <row r="10" spans="1:7" ht="17">
      <c r="A10" s="25"/>
      <c r="B10" s="2" t="s">
        <v>46</v>
      </c>
      <c r="C10" s="23"/>
      <c r="D10" s="2" t="s">
        <v>47</v>
      </c>
      <c r="E10" s="2" t="s">
        <v>8</v>
      </c>
      <c r="F10" s="2" t="s">
        <v>48</v>
      </c>
      <c r="G10" s="2" t="str">
        <f>VLOOKUP(B10,ガントチャート!$B$2:$G$54,6,FALSE)</f>
        <v>完了</v>
      </c>
    </row>
    <row r="11" spans="1:7" ht="17">
      <c r="A11" s="25"/>
      <c r="B11" s="2" t="s">
        <v>49</v>
      </c>
      <c r="C11" s="21" t="s">
        <v>50</v>
      </c>
      <c r="D11" s="2" t="s">
        <v>51</v>
      </c>
      <c r="E11" s="2" t="s">
        <v>8</v>
      </c>
      <c r="F11" s="2" t="s">
        <v>38</v>
      </c>
      <c r="G11" s="2" t="str">
        <f>VLOOKUP(B11,ガントチャート!$B$2:$G$54,6,FALSE)</f>
        <v>完了</v>
      </c>
    </row>
    <row r="12" spans="1:7" ht="17">
      <c r="A12" s="26"/>
      <c r="B12" s="2" t="s">
        <v>52</v>
      </c>
      <c r="C12" s="23"/>
      <c r="D12" s="2" t="s">
        <v>53</v>
      </c>
      <c r="E12" s="2" t="s">
        <v>8</v>
      </c>
      <c r="F12" s="2" t="s">
        <v>54</v>
      </c>
      <c r="G12" s="2" t="str">
        <f>VLOOKUP(B12,ガントチャート!$B$2:$G$54,6,FALSE)</f>
        <v>完了</v>
      </c>
    </row>
    <row r="13" spans="1:7" ht="17">
      <c r="A13" s="28" t="s">
        <v>55</v>
      </c>
      <c r="B13" s="2" t="s">
        <v>56</v>
      </c>
      <c r="C13" s="21" t="s">
        <v>57</v>
      </c>
      <c r="D13" s="2" t="s">
        <v>58</v>
      </c>
      <c r="E13" s="2" t="s">
        <v>9</v>
      </c>
      <c r="F13" s="2" t="s">
        <v>60</v>
      </c>
      <c r="G13" s="2" t="str">
        <f>VLOOKUP(B13,ガントチャート!$B$2:$G$54,6,FALSE)</f>
        <v>未開始</v>
      </c>
    </row>
    <row r="14" spans="1:7" ht="17">
      <c r="A14" s="25"/>
      <c r="B14" s="2" t="s">
        <v>62</v>
      </c>
      <c r="C14" s="22"/>
      <c r="D14" s="2" t="s">
        <v>63</v>
      </c>
      <c r="E14" s="2" t="s">
        <v>9</v>
      </c>
      <c r="F14" s="2" t="s">
        <v>64</v>
      </c>
      <c r="G14" s="2" t="str">
        <f>VLOOKUP(B14,ガントチャート!$B$2:$G$54,6,FALSE)</f>
        <v>未開始</v>
      </c>
    </row>
    <row r="15" spans="1:7" ht="17">
      <c r="A15" s="25"/>
      <c r="B15" s="2" t="s">
        <v>65</v>
      </c>
      <c r="C15" s="22"/>
      <c r="D15" s="2" t="s">
        <v>66</v>
      </c>
      <c r="E15" s="2" t="s">
        <v>9</v>
      </c>
      <c r="F15" s="2" t="s">
        <v>67</v>
      </c>
      <c r="G15" s="2" t="str">
        <f>VLOOKUP(B15,ガントチャート!$B$2:$G$54,6,FALSE)</f>
        <v>未開始</v>
      </c>
    </row>
    <row r="16" spans="1:7" ht="17">
      <c r="A16" s="25"/>
      <c r="B16" s="2" t="s">
        <v>68</v>
      </c>
      <c r="C16" s="22"/>
      <c r="D16" s="2" t="s">
        <v>69</v>
      </c>
      <c r="E16" s="2" t="s">
        <v>9</v>
      </c>
      <c r="F16" s="2" t="s">
        <v>70</v>
      </c>
      <c r="G16" s="2" t="str">
        <f>VLOOKUP(B16,ガントチャート!$B$2:$G$54,6,FALSE)</f>
        <v>未開始</v>
      </c>
    </row>
    <row r="17" spans="1:7" ht="17">
      <c r="A17" s="25"/>
      <c r="B17" s="2" t="s">
        <v>71</v>
      </c>
      <c r="C17" s="22"/>
      <c r="D17" s="2" t="s">
        <v>72</v>
      </c>
      <c r="E17" s="2" t="s">
        <v>10</v>
      </c>
      <c r="F17" s="2" t="s">
        <v>73</v>
      </c>
      <c r="G17" s="2" t="str">
        <f>VLOOKUP(B17,ガントチャート!$B$2:$G$54,6,FALSE)</f>
        <v>未開始</v>
      </c>
    </row>
    <row r="18" spans="1:7" ht="17">
      <c r="A18" s="25"/>
      <c r="B18" s="2" t="s">
        <v>74</v>
      </c>
      <c r="C18" s="22"/>
      <c r="D18" s="2" t="s">
        <v>75</v>
      </c>
      <c r="E18" s="2" t="s">
        <v>10</v>
      </c>
      <c r="F18" s="2" t="s">
        <v>76</v>
      </c>
      <c r="G18" s="2" t="str">
        <f>VLOOKUP(B18,ガントチャート!$B$2:$G$54,6,FALSE)</f>
        <v>未開始</v>
      </c>
    </row>
    <row r="19" spans="1:7" ht="17">
      <c r="A19" s="25"/>
      <c r="B19" s="2" t="s">
        <v>77</v>
      </c>
      <c r="C19" s="22"/>
      <c r="D19" s="2" t="s">
        <v>78</v>
      </c>
      <c r="E19" s="2" t="s">
        <v>10</v>
      </c>
      <c r="F19" s="2" t="s">
        <v>79</v>
      </c>
      <c r="G19" s="2" t="str">
        <f>VLOOKUP(B19,ガントチャート!$B$2:$G$54,6,FALSE)</f>
        <v>未開始</v>
      </c>
    </row>
    <row r="20" spans="1:7" ht="17">
      <c r="A20" s="26"/>
      <c r="B20" s="2" t="s">
        <v>80</v>
      </c>
      <c r="C20" s="23"/>
      <c r="D20" s="2" t="s">
        <v>81</v>
      </c>
      <c r="E20" s="2" t="s">
        <v>10</v>
      </c>
      <c r="F20" s="2" t="s">
        <v>64</v>
      </c>
      <c r="G20" s="2" t="str">
        <f>VLOOKUP(B20,ガントチャート!$B$2:$G$54,6,FALSE)</f>
        <v>未開始</v>
      </c>
    </row>
    <row r="21" spans="1:7" ht="17">
      <c r="A21" s="24" t="s">
        <v>114</v>
      </c>
      <c r="B21" s="2" t="s">
        <v>115</v>
      </c>
      <c r="C21" s="21" t="s">
        <v>116</v>
      </c>
      <c r="D21" s="2" t="s">
        <v>117</v>
      </c>
      <c r="E21" s="2" t="s">
        <v>10</v>
      </c>
      <c r="F21" s="2" t="s">
        <v>118</v>
      </c>
      <c r="G21" s="2" t="str">
        <f>VLOOKUP(B21,ガントチャート!$B$2:$G$54,6,FALSE)</f>
        <v>未開始</v>
      </c>
    </row>
    <row r="22" spans="1:7" ht="17">
      <c r="A22" s="25"/>
      <c r="B22" s="2" t="s">
        <v>122</v>
      </c>
      <c r="C22" s="22"/>
      <c r="D22" s="2" t="s">
        <v>123</v>
      </c>
      <c r="E22" s="2" t="s">
        <v>10</v>
      </c>
      <c r="F22" s="2" t="s">
        <v>124</v>
      </c>
      <c r="G22" s="2" t="str">
        <f>VLOOKUP(B22,ガントチャート!$B$2:$G$54,6,FALSE)</f>
        <v>未開始</v>
      </c>
    </row>
    <row r="23" spans="1:7" ht="17">
      <c r="A23" s="25"/>
      <c r="B23" s="2" t="s">
        <v>125</v>
      </c>
      <c r="C23" s="23"/>
      <c r="D23" s="2" t="s">
        <v>126</v>
      </c>
      <c r="E23" s="2" t="s">
        <v>10</v>
      </c>
      <c r="F23" s="2" t="s">
        <v>127</v>
      </c>
      <c r="G23" s="2" t="str">
        <f>VLOOKUP(B23,ガントチャート!$B$2:$G$54,6,FALSE)</f>
        <v>未開始</v>
      </c>
    </row>
    <row r="24" spans="1:7" ht="17">
      <c r="A24" s="25"/>
      <c r="B24" s="2" t="s">
        <v>138</v>
      </c>
      <c r="C24" s="21" t="s">
        <v>129</v>
      </c>
      <c r="D24" s="2" t="s">
        <v>139</v>
      </c>
      <c r="E24" s="2" t="s">
        <v>11</v>
      </c>
      <c r="F24" s="2" t="s">
        <v>140</v>
      </c>
      <c r="G24" s="2" t="str">
        <f>VLOOKUP(B24,ガントチャート!$B$2:$G$54,6,FALSE)</f>
        <v>未開始</v>
      </c>
    </row>
    <row r="25" spans="1:7" ht="17">
      <c r="A25" s="25"/>
      <c r="B25" s="2" t="s">
        <v>141</v>
      </c>
      <c r="C25" s="23"/>
      <c r="D25" s="2" t="s">
        <v>142</v>
      </c>
      <c r="E25" s="2" t="s">
        <v>11</v>
      </c>
      <c r="F25" s="2" t="s">
        <v>38</v>
      </c>
      <c r="G25" s="2" t="str">
        <f>VLOOKUP(B25,ガントチャート!$B$2:$G$54,6,FALSE)</f>
        <v>未開始</v>
      </c>
    </row>
    <row r="26" spans="1:7" ht="17">
      <c r="A26" s="25"/>
      <c r="B26" s="2" t="s">
        <v>150</v>
      </c>
      <c r="C26" s="21" t="s">
        <v>144</v>
      </c>
      <c r="D26" s="2" t="s">
        <v>151</v>
      </c>
      <c r="E26" s="2" t="s">
        <v>12</v>
      </c>
      <c r="F26" s="2" t="s">
        <v>152</v>
      </c>
      <c r="G26" s="2" t="str">
        <f>VLOOKUP(B26,ガントチャート!$B$2:$G$54,6,FALSE)</f>
        <v>未開始</v>
      </c>
    </row>
    <row r="27" spans="1:7" ht="17">
      <c r="A27" s="26"/>
      <c r="B27" s="2" t="s">
        <v>153</v>
      </c>
      <c r="C27" s="23"/>
      <c r="D27" s="2" t="s">
        <v>154</v>
      </c>
      <c r="E27" s="2" t="s">
        <v>12</v>
      </c>
      <c r="F27" s="2" t="s">
        <v>155</v>
      </c>
      <c r="G27" s="2" t="str">
        <f>VLOOKUP(B27,ガントチャート!$B$2:$G$54,6,FALSE)</f>
        <v>未開始</v>
      </c>
    </row>
    <row r="28" spans="1:7" ht="17">
      <c r="A28" s="29" t="s">
        <v>156</v>
      </c>
      <c r="B28" s="2" t="s">
        <v>164</v>
      </c>
      <c r="C28" s="21" t="s">
        <v>165</v>
      </c>
      <c r="D28" s="2" t="s">
        <v>166</v>
      </c>
      <c r="E28" s="2" t="s">
        <v>13</v>
      </c>
      <c r="F28" s="2" t="s">
        <v>167</v>
      </c>
      <c r="G28" s="2" t="str">
        <f>VLOOKUP(B28,ガントチャート!$B$2:$G$54,6,FALSE)</f>
        <v>未開始</v>
      </c>
    </row>
    <row r="29" spans="1:7" ht="17">
      <c r="A29" s="25"/>
      <c r="B29" s="2" t="s">
        <v>174</v>
      </c>
      <c r="C29" s="23"/>
      <c r="D29" s="2" t="s">
        <v>175</v>
      </c>
      <c r="E29" s="2" t="s">
        <v>13</v>
      </c>
      <c r="F29" s="2" t="s">
        <v>176</v>
      </c>
      <c r="G29" s="2" t="str">
        <f>VLOOKUP(B29,ガントチャート!$B$2:$G$54,6,FALSE)</f>
        <v>未開始</v>
      </c>
    </row>
    <row r="30" spans="1:7" ht="17">
      <c r="A30" s="25"/>
      <c r="B30" s="2" t="s">
        <v>186</v>
      </c>
      <c r="C30" s="2" t="s">
        <v>178</v>
      </c>
      <c r="D30" s="2" t="s">
        <v>187</v>
      </c>
      <c r="E30" s="2" t="s">
        <v>14</v>
      </c>
      <c r="F30" s="2" t="s">
        <v>188</v>
      </c>
      <c r="G30" s="2" t="str">
        <f>VLOOKUP(B30,ガントチャート!$B$2:$G$54,6,FALSE)</f>
        <v>未開始</v>
      </c>
    </row>
    <row r="31" spans="1:7" ht="17">
      <c r="A31" s="26"/>
      <c r="B31" s="2" t="s">
        <v>193</v>
      </c>
      <c r="C31" s="2" t="s">
        <v>190</v>
      </c>
      <c r="D31" s="2" t="s">
        <v>194</v>
      </c>
      <c r="E31" s="2" t="s">
        <v>15</v>
      </c>
      <c r="F31" s="2" t="s">
        <v>64</v>
      </c>
      <c r="G31" s="2" t="str">
        <f>VLOOKUP(B31,ガントチャート!$B$2:$G$54,6,FALSE)</f>
        <v>未開始</v>
      </c>
    </row>
  </sheetData>
  <mergeCells count="13">
    <mergeCell ref="C13:C20"/>
    <mergeCell ref="C21:C23"/>
    <mergeCell ref="C2:C4"/>
    <mergeCell ref="C28:C29"/>
    <mergeCell ref="A28:A31"/>
    <mergeCell ref="A2:A12"/>
    <mergeCell ref="C5:C7"/>
    <mergeCell ref="C11:C12"/>
    <mergeCell ref="C24:C25"/>
    <mergeCell ref="C8:C10"/>
    <mergeCell ref="C26:C27"/>
    <mergeCell ref="A13:A20"/>
    <mergeCell ref="A21:A27"/>
  </mergeCells>
  <phoneticPr fontId="8" type="noConversion"/>
  <conditionalFormatting sqref="B2:B31">
    <cfRule type="expression" dxfId="27" priority="1">
      <formula>$G2="完了"</formula>
    </cfRule>
  </conditionalFormatting>
  <conditionalFormatting sqref="C2:C4">
    <cfRule type="expression" dxfId="26" priority="3">
      <formula>COUNTIF($G$2:$G$4,"完了")=ROWS($G$2:$G$4)</formula>
    </cfRule>
  </conditionalFormatting>
  <conditionalFormatting sqref="C5:C7">
    <cfRule type="expression" dxfId="25" priority="4">
      <formula>COUNTIF($G$5:$G$7,"完了")=ROWS($G$5:$G$7)</formula>
    </cfRule>
  </conditionalFormatting>
  <conditionalFormatting sqref="C8:C10">
    <cfRule type="expression" dxfId="24" priority="5">
      <formula>COUNTIF($G$8:$G$10,"完了")=ROWS($G$8:$G$10)</formula>
    </cfRule>
  </conditionalFormatting>
  <conditionalFormatting sqref="C11:C12">
    <cfRule type="expression" dxfId="23" priority="6">
      <formula>COUNTIF($G$11:$G$12,"完了")=ROWS($G$11:$G$12)</formula>
    </cfRule>
  </conditionalFormatting>
  <conditionalFormatting sqref="C13:C20">
    <cfRule type="expression" dxfId="22" priority="7">
      <formula>COUNTIF($G$13:$G$20,"完了")=ROWS($G$13:$G$20)</formula>
    </cfRule>
  </conditionalFormatting>
  <conditionalFormatting sqref="C21:C23">
    <cfRule type="expression" dxfId="21" priority="8">
      <formula>COUNTIF($G$21:$G$23,"完了")=ROWS($G$21:$G$23)</formula>
    </cfRule>
  </conditionalFormatting>
  <conditionalFormatting sqref="C24:C25">
    <cfRule type="expression" dxfId="20" priority="9">
      <formula>COUNTIF($G$24:$G$25,"完了")=ROWS($G$24:$G$25)</formula>
    </cfRule>
  </conditionalFormatting>
  <conditionalFormatting sqref="C26:C27">
    <cfRule type="expression" dxfId="19" priority="10">
      <formula>COUNTIF($G$26:$G$27,"完了")=ROWS($G$26:$G$27)</formula>
    </cfRule>
  </conditionalFormatting>
  <conditionalFormatting sqref="C28:C29">
    <cfRule type="expression" dxfId="18" priority="11">
      <formula>COUNTIF($G$28:$G$29,"完了")=ROWS($G$28:$G$29)</formula>
    </cfRule>
  </conditionalFormatting>
  <conditionalFormatting sqref="C30">
    <cfRule type="expression" dxfId="17" priority="12">
      <formula>COUNTIF($G$30:$G$30,"完了")=ROWS($G$30:$G$30)</formula>
    </cfRule>
  </conditionalFormatting>
  <conditionalFormatting sqref="C31">
    <cfRule type="expression" dxfId="16" priority="13">
      <formula>COUNTIF($G$31:$G$31,"完了")=ROWS($G$31:$G$31)</formula>
    </cfRule>
  </conditionalFormatting>
  <conditionalFormatting sqref="D2:F31">
    <cfRule type="expression" dxfId="15" priority="2">
      <formula>$G2="完了"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5</v>
      </c>
      <c r="G1" s="1" t="s">
        <v>6</v>
      </c>
    </row>
    <row r="2" spans="1:7" ht="17">
      <c r="A2" s="27" t="s">
        <v>16</v>
      </c>
      <c r="B2" s="2" t="s">
        <v>17</v>
      </c>
      <c r="C2" s="21" t="s">
        <v>18</v>
      </c>
      <c r="D2" s="2" t="s">
        <v>19</v>
      </c>
      <c r="E2" s="2" t="s">
        <v>7</v>
      </c>
      <c r="F2" s="2" t="s">
        <v>21</v>
      </c>
      <c r="G2" s="2" t="str">
        <f>VLOOKUP(B2,ガントチャート!$B$2:$G$54,6,FALSE)</f>
        <v>完了</v>
      </c>
    </row>
    <row r="3" spans="1:7" ht="17">
      <c r="A3" s="25"/>
      <c r="B3" s="2" t="s">
        <v>23</v>
      </c>
      <c r="C3" s="22"/>
      <c r="D3" s="2" t="s">
        <v>24</v>
      </c>
      <c r="E3" s="2" t="s">
        <v>201</v>
      </c>
      <c r="F3" s="2" t="s">
        <v>25</v>
      </c>
      <c r="G3" s="2" t="str">
        <f>VLOOKUP(B3,ガントチャート!$B$2:$G$54,6,FALSE)</f>
        <v>完了</v>
      </c>
    </row>
    <row r="4" spans="1:7" ht="17">
      <c r="A4" s="25"/>
      <c r="B4" s="2" t="s">
        <v>26</v>
      </c>
      <c r="C4" s="23"/>
      <c r="D4" s="2" t="s">
        <v>27</v>
      </c>
      <c r="E4" s="2" t="s">
        <v>8</v>
      </c>
      <c r="F4" s="2" t="s">
        <v>28</v>
      </c>
      <c r="G4" s="2" t="str">
        <f>VLOOKUP(B4,ガントチャート!$B$2:$G$54,6,FALSE)</f>
        <v>完了</v>
      </c>
    </row>
    <row r="5" spans="1:7" ht="17">
      <c r="A5" s="25"/>
      <c r="B5" s="2" t="s">
        <v>29</v>
      </c>
      <c r="C5" s="21" t="s">
        <v>30</v>
      </c>
      <c r="D5" s="2" t="s">
        <v>31</v>
      </c>
      <c r="E5" s="2" t="s">
        <v>7</v>
      </c>
      <c r="F5" s="2" t="s">
        <v>32</v>
      </c>
      <c r="G5" s="2" t="str">
        <f>VLOOKUP(B5,ガントチャート!$B$2:$G$54,6,FALSE)</f>
        <v>完了</v>
      </c>
    </row>
    <row r="6" spans="1:7" ht="17">
      <c r="A6" s="25"/>
      <c r="B6" s="2" t="s">
        <v>33</v>
      </c>
      <c r="C6" s="22"/>
      <c r="D6" s="2" t="s">
        <v>34</v>
      </c>
      <c r="E6" s="2" t="s">
        <v>201</v>
      </c>
      <c r="F6" s="2" t="s">
        <v>35</v>
      </c>
      <c r="G6" s="2" t="str">
        <f>VLOOKUP(B6,ガントチャート!$B$2:$G$54,6,FALSE)</f>
        <v>完了</v>
      </c>
    </row>
    <row r="7" spans="1:7" ht="17">
      <c r="A7" s="25"/>
      <c r="B7" s="2" t="s">
        <v>36</v>
      </c>
      <c r="C7" s="23"/>
      <c r="D7" s="2" t="s">
        <v>37</v>
      </c>
      <c r="E7" s="2" t="s">
        <v>8</v>
      </c>
      <c r="F7" s="2" t="s">
        <v>38</v>
      </c>
      <c r="G7" s="2" t="e">
        <f>VLOOKUP(B7,ガントチャート!$B$2:$G$54,6,FALSE)</f>
        <v>#N/A</v>
      </c>
    </row>
    <row r="8" spans="1:7" ht="17">
      <c r="A8" s="25"/>
      <c r="B8" s="2" t="s">
        <v>39</v>
      </c>
      <c r="C8" s="21" t="s">
        <v>40</v>
      </c>
      <c r="D8" s="2" t="s">
        <v>41</v>
      </c>
      <c r="E8" s="2" t="s">
        <v>7</v>
      </c>
      <c r="F8" s="2" t="s">
        <v>42</v>
      </c>
      <c r="G8" s="2" t="str">
        <f>VLOOKUP(B8,ガントチャート!$B$2:$G$54,6,FALSE)</f>
        <v>完了</v>
      </c>
    </row>
    <row r="9" spans="1:7" ht="17">
      <c r="A9" s="25"/>
      <c r="B9" s="2" t="s">
        <v>43</v>
      </c>
      <c r="C9" s="22"/>
      <c r="D9" s="2" t="s">
        <v>44</v>
      </c>
      <c r="E9" s="2" t="s">
        <v>8</v>
      </c>
      <c r="F9" s="2" t="s">
        <v>45</v>
      </c>
      <c r="G9" s="2" t="str">
        <f>VLOOKUP(B9,ガントチャート!$B$2:$G$54,6,FALSE)</f>
        <v>完了</v>
      </c>
    </row>
    <row r="10" spans="1:7" ht="17">
      <c r="A10" s="25"/>
      <c r="B10" s="2" t="s">
        <v>46</v>
      </c>
      <c r="C10" s="23"/>
      <c r="D10" s="2" t="s">
        <v>47</v>
      </c>
      <c r="E10" s="2" t="s">
        <v>8</v>
      </c>
      <c r="F10" s="2" t="s">
        <v>48</v>
      </c>
      <c r="G10" s="2" t="str">
        <f>VLOOKUP(B10,ガントチャート!$B$2:$G$54,6,FALSE)</f>
        <v>完了</v>
      </c>
    </row>
    <row r="11" spans="1:7" ht="17">
      <c r="A11" s="25"/>
      <c r="B11" s="2" t="s">
        <v>49</v>
      </c>
      <c r="C11" s="21" t="s">
        <v>50</v>
      </c>
      <c r="D11" s="2" t="s">
        <v>51</v>
      </c>
      <c r="E11" s="2" t="s">
        <v>8</v>
      </c>
      <c r="F11" s="2" t="s">
        <v>38</v>
      </c>
      <c r="G11" s="2" t="str">
        <f>VLOOKUP(B11,ガントチャート!$B$2:$G$54,6,FALSE)</f>
        <v>完了</v>
      </c>
    </row>
    <row r="12" spans="1:7" ht="17">
      <c r="A12" s="26"/>
      <c r="B12" s="2" t="s">
        <v>52</v>
      </c>
      <c r="C12" s="23"/>
      <c r="D12" s="2" t="s">
        <v>53</v>
      </c>
      <c r="E12" s="2" t="s">
        <v>8</v>
      </c>
      <c r="F12" s="2" t="s">
        <v>54</v>
      </c>
      <c r="G12" s="2" t="str">
        <f>VLOOKUP(B12,ガントチャート!$B$2:$G$54,6,FALSE)</f>
        <v>完了</v>
      </c>
    </row>
    <row r="13" spans="1:7" ht="17">
      <c r="A13" s="28" t="s">
        <v>55</v>
      </c>
      <c r="B13" s="2" t="s">
        <v>82</v>
      </c>
      <c r="C13" s="21" t="s">
        <v>83</v>
      </c>
      <c r="D13" s="2" t="s">
        <v>84</v>
      </c>
      <c r="E13" s="2" t="s">
        <v>9</v>
      </c>
      <c r="F13" s="2" t="s">
        <v>86</v>
      </c>
      <c r="G13" s="2" t="str">
        <f>VLOOKUP(B13,ガントチャート!$B$2:$G$54,6,FALSE)</f>
        <v>未開始</v>
      </c>
    </row>
    <row r="14" spans="1:7" ht="17">
      <c r="A14" s="25"/>
      <c r="B14" s="2" t="s">
        <v>87</v>
      </c>
      <c r="C14" s="22"/>
      <c r="D14" s="2" t="s">
        <v>88</v>
      </c>
      <c r="E14" s="2" t="s">
        <v>9</v>
      </c>
      <c r="F14" s="2" t="s">
        <v>89</v>
      </c>
      <c r="G14" s="2" t="str">
        <f>VLOOKUP(B14,ガントチャート!$B$2:$G$54,6,FALSE)</f>
        <v>未開始</v>
      </c>
    </row>
    <row r="15" spans="1:7" ht="17">
      <c r="A15" s="25"/>
      <c r="B15" s="2" t="s">
        <v>90</v>
      </c>
      <c r="C15" s="22"/>
      <c r="D15" s="2" t="s">
        <v>91</v>
      </c>
      <c r="E15" s="2" t="s">
        <v>10</v>
      </c>
      <c r="F15" s="2" t="s">
        <v>92</v>
      </c>
      <c r="G15" s="2" t="str">
        <f>VLOOKUP(B15,ガントチャート!$B$2:$G$54,6,FALSE)</f>
        <v>未開始</v>
      </c>
    </row>
    <row r="16" spans="1:7" ht="17">
      <c r="A16" s="25"/>
      <c r="B16" s="2" t="s">
        <v>93</v>
      </c>
      <c r="C16" s="22"/>
      <c r="D16" s="2" t="s">
        <v>94</v>
      </c>
      <c r="E16" s="2" t="s">
        <v>9</v>
      </c>
      <c r="F16" s="2" t="s">
        <v>95</v>
      </c>
      <c r="G16" s="2" t="str">
        <f>VLOOKUP(B16,ガントチャート!$B$2:$G$54,6,FALSE)</f>
        <v>未開始</v>
      </c>
    </row>
    <row r="17" spans="1:7" ht="17">
      <c r="A17" s="25"/>
      <c r="B17" s="2" t="s">
        <v>96</v>
      </c>
      <c r="C17" s="22"/>
      <c r="D17" s="2" t="s">
        <v>97</v>
      </c>
      <c r="E17" s="2" t="s">
        <v>9</v>
      </c>
      <c r="F17" s="2" t="s">
        <v>98</v>
      </c>
      <c r="G17" s="2" t="str">
        <f>VLOOKUP(B17,ガントチャート!$B$2:$G$54,6,FALSE)</f>
        <v>未開始</v>
      </c>
    </row>
    <row r="18" spans="1:7" ht="17">
      <c r="A18" s="25"/>
      <c r="B18" s="2" t="s">
        <v>99</v>
      </c>
      <c r="C18" s="22"/>
      <c r="D18" s="2" t="s">
        <v>100</v>
      </c>
      <c r="E18" s="2" t="s">
        <v>10</v>
      </c>
      <c r="F18" s="2" t="s">
        <v>101</v>
      </c>
      <c r="G18" s="2" t="str">
        <f>VLOOKUP(B18,ガントチャート!$B$2:$G$54,6,FALSE)</f>
        <v>未開始</v>
      </c>
    </row>
    <row r="19" spans="1:7" ht="17">
      <c r="A19" s="25"/>
      <c r="B19" s="2" t="s">
        <v>102</v>
      </c>
      <c r="C19" s="22"/>
      <c r="D19" s="2" t="s">
        <v>103</v>
      </c>
      <c r="E19" s="2" t="s">
        <v>10</v>
      </c>
      <c r="F19" s="2" t="s">
        <v>104</v>
      </c>
      <c r="G19" s="2" t="str">
        <f>VLOOKUP(B19,ガントチャート!$B$2:$G$54,6,FALSE)</f>
        <v>未開始</v>
      </c>
    </row>
    <row r="20" spans="1:7" ht="17">
      <c r="A20" s="25"/>
      <c r="B20" s="2" t="s">
        <v>105</v>
      </c>
      <c r="C20" s="22"/>
      <c r="D20" s="2" t="s">
        <v>106</v>
      </c>
      <c r="E20" s="2" t="s">
        <v>10</v>
      </c>
      <c r="F20" s="2" t="s">
        <v>107</v>
      </c>
      <c r="G20" s="2" t="str">
        <f>VLOOKUP(B20,ガントチャート!$B$2:$G$54,6,FALSE)</f>
        <v>未開始</v>
      </c>
    </row>
    <row r="21" spans="1:7" ht="17">
      <c r="A21" s="25"/>
      <c r="B21" s="2" t="s">
        <v>108</v>
      </c>
      <c r="C21" s="22"/>
      <c r="D21" s="2" t="s">
        <v>109</v>
      </c>
      <c r="E21" s="2" t="s">
        <v>10</v>
      </c>
      <c r="F21" s="2" t="s">
        <v>110</v>
      </c>
      <c r="G21" s="2" t="str">
        <f>VLOOKUP(B21,ガントチャート!$B$2:$G$54,6,FALSE)</f>
        <v>未開始</v>
      </c>
    </row>
    <row r="22" spans="1:7" ht="17">
      <c r="A22" s="26"/>
      <c r="B22" s="2" t="s">
        <v>111</v>
      </c>
      <c r="C22" s="23"/>
      <c r="D22" s="2" t="s">
        <v>112</v>
      </c>
      <c r="E22" s="2" t="s">
        <v>10</v>
      </c>
      <c r="F22" s="2" t="s">
        <v>113</v>
      </c>
      <c r="G22" s="2" t="str">
        <f>VLOOKUP(B22,ガントチャート!$B$2:$G$54,6,FALSE)</f>
        <v>未開始</v>
      </c>
    </row>
    <row r="23" spans="1:7" ht="17">
      <c r="A23" s="24" t="s">
        <v>114</v>
      </c>
      <c r="B23" s="2" t="s">
        <v>115</v>
      </c>
      <c r="C23" s="21" t="s">
        <v>116</v>
      </c>
      <c r="D23" s="2" t="s">
        <v>117</v>
      </c>
      <c r="E23" s="2" t="s">
        <v>10</v>
      </c>
      <c r="F23" s="2" t="s">
        <v>118</v>
      </c>
      <c r="G23" s="2" t="str">
        <f>VLOOKUP(B23,ガントチャート!$B$2:$G$54,6,FALSE)</f>
        <v>未開始</v>
      </c>
    </row>
    <row r="24" spans="1:7" ht="17">
      <c r="A24" s="25"/>
      <c r="B24" s="2" t="s">
        <v>119</v>
      </c>
      <c r="C24" s="22"/>
      <c r="D24" s="2" t="s">
        <v>120</v>
      </c>
      <c r="E24" s="2" t="s">
        <v>10</v>
      </c>
      <c r="F24" s="2" t="s">
        <v>121</v>
      </c>
      <c r="G24" s="2" t="str">
        <f>VLOOKUP(B24,ガントチャート!$B$2:$G$54,6,FALSE)</f>
        <v>未開始</v>
      </c>
    </row>
    <row r="25" spans="1:7" ht="17">
      <c r="A25" s="25"/>
      <c r="B25" s="2" t="s">
        <v>122</v>
      </c>
      <c r="C25" s="22"/>
      <c r="D25" s="2" t="s">
        <v>123</v>
      </c>
      <c r="E25" s="2" t="s">
        <v>10</v>
      </c>
      <c r="F25" s="2" t="s">
        <v>124</v>
      </c>
      <c r="G25" s="2" t="str">
        <f>VLOOKUP(B25,ガントチャート!$B$2:$G$54,6,FALSE)</f>
        <v>未開始</v>
      </c>
    </row>
    <row r="26" spans="1:7" ht="17">
      <c r="A26" s="25"/>
      <c r="B26" s="2" t="s">
        <v>125</v>
      </c>
      <c r="C26" s="23"/>
      <c r="D26" s="2" t="s">
        <v>126</v>
      </c>
      <c r="E26" s="2" t="s">
        <v>10</v>
      </c>
      <c r="F26" s="2" t="s">
        <v>127</v>
      </c>
      <c r="G26" s="2" t="str">
        <f>VLOOKUP(B26,ガントチャート!$B$2:$G$54,6,FALSE)</f>
        <v>未開始</v>
      </c>
    </row>
    <row r="27" spans="1:7" ht="17">
      <c r="A27" s="25"/>
      <c r="B27" s="2" t="s">
        <v>128</v>
      </c>
      <c r="C27" s="21" t="s">
        <v>129</v>
      </c>
      <c r="D27" s="2" t="s">
        <v>130</v>
      </c>
      <c r="E27" s="2" t="s">
        <v>11</v>
      </c>
      <c r="F27" s="2" t="s">
        <v>131</v>
      </c>
      <c r="G27" s="2" t="str">
        <f>VLOOKUP(B27,ガントチャート!$B$2:$G$54,6,FALSE)</f>
        <v>未開始</v>
      </c>
    </row>
    <row r="28" spans="1:7" ht="17">
      <c r="A28" s="25"/>
      <c r="B28" s="2" t="s">
        <v>132</v>
      </c>
      <c r="C28" s="22"/>
      <c r="D28" s="2" t="s">
        <v>133</v>
      </c>
      <c r="E28" s="2" t="s">
        <v>11</v>
      </c>
      <c r="F28" s="2" t="s">
        <v>134</v>
      </c>
      <c r="G28" s="2" t="str">
        <f>VLOOKUP(B28,ガントチャート!$B$2:$G$54,6,FALSE)</f>
        <v>未開始</v>
      </c>
    </row>
    <row r="29" spans="1:7" ht="17">
      <c r="A29" s="25"/>
      <c r="B29" s="2" t="s">
        <v>135</v>
      </c>
      <c r="C29" s="23"/>
      <c r="D29" s="2" t="s">
        <v>136</v>
      </c>
      <c r="E29" s="2" t="s">
        <v>11</v>
      </c>
      <c r="F29" s="2" t="s">
        <v>137</v>
      </c>
      <c r="G29" s="2" t="str">
        <f>VLOOKUP(B29,ガントチャート!$B$2:$G$54,6,FALSE)</f>
        <v>未開始</v>
      </c>
    </row>
    <row r="30" spans="1:7" ht="17">
      <c r="A30" s="25"/>
      <c r="B30" s="2" t="s">
        <v>143</v>
      </c>
      <c r="C30" s="21" t="s">
        <v>144</v>
      </c>
      <c r="D30" s="2" t="s">
        <v>145</v>
      </c>
      <c r="E30" s="2" t="s">
        <v>12</v>
      </c>
      <c r="F30" s="2" t="s">
        <v>146</v>
      </c>
      <c r="G30" s="2" t="str">
        <f>VLOOKUP(B30,ガントチャート!$B$2:$G$54,6,FALSE)</f>
        <v>未開始</v>
      </c>
    </row>
    <row r="31" spans="1:7" ht="17">
      <c r="A31" s="26"/>
      <c r="B31" s="2" t="s">
        <v>147</v>
      </c>
      <c r="C31" s="23"/>
      <c r="D31" s="2" t="s">
        <v>148</v>
      </c>
      <c r="E31" s="2" t="s">
        <v>12</v>
      </c>
      <c r="F31" s="2" t="s">
        <v>149</v>
      </c>
      <c r="G31" s="2" t="str">
        <f>VLOOKUP(B31,ガントチャート!$B$2:$G$54,6,FALSE)</f>
        <v>未開始</v>
      </c>
    </row>
    <row r="32" spans="1:7" ht="17">
      <c r="A32" s="29" t="s">
        <v>156</v>
      </c>
      <c r="B32" s="2" t="s">
        <v>157</v>
      </c>
      <c r="C32" s="21" t="s">
        <v>158</v>
      </c>
      <c r="D32" s="2" t="s">
        <v>159</v>
      </c>
      <c r="E32" s="2" t="s">
        <v>202</v>
      </c>
      <c r="F32" s="2" t="s">
        <v>160</v>
      </c>
      <c r="G32" s="2" t="str">
        <f>VLOOKUP(B32,ガントチャート!$B$2:$G$54,6,FALSE)</f>
        <v>未開始</v>
      </c>
    </row>
    <row r="33" spans="1:7" ht="17">
      <c r="A33" s="25"/>
      <c r="B33" s="2" t="s">
        <v>161</v>
      </c>
      <c r="C33" s="23"/>
      <c r="D33" s="2" t="s">
        <v>162</v>
      </c>
      <c r="E33" s="2" t="s">
        <v>202</v>
      </c>
      <c r="F33" s="2" t="s">
        <v>163</v>
      </c>
      <c r="G33" s="2" t="str">
        <f>VLOOKUP(B33,ガントチャート!$B$2:$G$54,6,FALSE)</f>
        <v>未開始</v>
      </c>
    </row>
    <row r="34" spans="1:7" ht="17">
      <c r="A34" s="25"/>
      <c r="B34" s="2" t="s">
        <v>168</v>
      </c>
      <c r="C34" s="21" t="s">
        <v>165</v>
      </c>
      <c r="D34" s="2" t="s">
        <v>169</v>
      </c>
      <c r="E34" s="2" t="s">
        <v>203</v>
      </c>
      <c r="F34" s="2" t="s">
        <v>170</v>
      </c>
      <c r="G34" s="2" t="str">
        <f>VLOOKUP(B34,ガントチャート!$B$2:$G$54,6,FALSE)</f>
        <v>未開始</v>
      </c>
    </row>
    <row r="35" spans="1:7" ht="17">
      <c r="A35" s="25"/>
      <c r="B35" s="2" t="s">
        <v>171</v>
      </c>
      <c r="C35" s="23"/>
      <c r="D35" s="2" t="s">
        <v>172</v>
      </c>
      <c r="E35" s="2" t="s">
        <v>203</v>
      </c>
      <c r="F35" s="2" t="s">
        <v>173</v>
      </c>
      <c r="G35" s="2" t="str">
        <f>VLOOKUP(B35,ガントチャート!$B$2:$G$54,6,FALSE)</f>
        <v>未開始</v>
      </c>
    </row>
    <row r="36" spans="1:7" ht="17">
      <c r="A36" s="25"/>
      <c r="B36" s="2" t="s">
        <v>177</v>
      </c>
      <c r="C36" s="21" t="s">
        <v>178</v>
      </c>
      <c r="D36" s="2" t="s">
        <v>179</v>
      </c>
      <c r="E36" s="2" t="s">
        <v>14</v>
      </c>
      <c r="F36" s="2" t="s">
        <v>98</v>
      </c>
      <c r="G36" s="2" t="str">
        <f>VLOOKUP(B36,ガントチャート!$B$2:$G$54,6,FALSE)</f>
        <v>未開始</v>
      </c>
    </row>
    <row r="37" spans="1:7" ht="17">
      <c r="A37" s="25"/>
      <c r="B37" s="2" t="s">
        <v>180</v>
      </c>
      <c r="C37" s="22"/>
      <c r="D37" s="2" t="s">
        <v>181</v>
      </c>
      <c r="E37" s="2" t="s">
        <v>14</v>
      </c>
      <c r="F37" s="2" t="s">
        <v>182</v>
      </c>
      <c r="G37" s="2" t="str">
        <f>VLOOKUP(B37,ガントチャート!$B$2:$G$54,6,FALSE)</f>
        <v>未開始</v>
      </c>
    </row>
    <row r="38" spans="1:7" ht="17">
      <c r="A38" s="25"/>
      <c r="B38" s="2" t="s">
        <v>183</v>
      </c>
      <c r="C38" s="23"/>
      <c r="D38" s="2" t="s">
        <v>184</v>
      </c>
      <c r="E38" s="2" t="s">
        <v>204</v>
      </c>
      <c r="F38" s="2" t="s">
        <v>185</v>
      </c>
      <c r="G38" s="2" t="str">
        <f>VLOOKUP(B38,ガントチャート!$B$2:$G$54,6,FALSE)</f>
        <v>未開始</v>
      </c>
    </row>
    <row r="39" spans="1:7" ht="17">
      <c r="A39" s="26"/>
      <c r="B39" s="2" t="s">
        <v>189</v>
      </c>
      <c r="C39" s="2" t="s">
        <v>190</v>
      </c>
      <c r="D39" s="2" t="s">
        <v>191</v>
      </c>
      <c r="E39" s="2" t="s">
        <v>15</v>
      </c>
      <c r="F39" s="2" t="s">
        <v>192</v>
      </c>
      <c r="G39" s="2" t="str">
        <f>VLOOKUP(B39,ガントチャート!$B$2:$G$54,6,FALSE)</f>
        <v>未開始</v>
      </c>
    </row>
  </sheetData>
  <mergeCells count="15">
    <mergeCell ref="C2:C4"/>
    <mergeCell ref="A2:A12"/>
    <mergeCell ref="C5:C7"/>
    <mergeCell ref="A13:A22"/>
    <mergeCell ref="C11:C12"/>
    <mergeCell ref="C8:C10"/>
    <mergeCell ref="C27:C29"/>
    <mergeCell ref="C30:C31"/>
    <mergeCell ref="A32:A39"/>
    <mergeCell ref="C13:C22"/>
    <mergeCell ref="C34:C35"/>
    <mergeCell ref="A23:A31"/>
    <mergeCell ref="C32:C33"/>
    <mergeCell ref="C23:C26"/>
    <mergeCell ref="C36:C38"/>
  </mergeCells>
  <phoneticPr fontId="8" type="noConversion"/>
  <conditionalFormatting sqref="B2:B39">
    <cfRule type="expression" dxfId="14" priority="1">
      <formula>$G2="完了"</formula>
    </cfRule>
  </conditionalFormatting>
  <conditionalFormatting sqref="C2:C4">
    <cfRule type="expression" dxfId="13" priority="3">
      <formula>COUNTIF($G$2:$G$4,"完了")=ROWS($G$2:$G$4)</formula>
    </cfRule>
  </conditionalFormatting>
  <conditionalFormatting sqref="C5:C7">
    <cfRule type="expression" dxfId="12" priority="4">
      <formula>COUNTIF($G$5:$G$7,"完了")=ROWS($G$5:$G$7)</formula>
    </cfRule>
  </conditionalFormatting>
  <conditionalFormatting sqref="C8:C10">
    <cfRule type="expression" dxfId="11" priority="5">
      <formula>COUNTIF($G$8:$G$10,"完了")=ROWS($G$8:$G$10)</formula>
    </cfRule>
  </conditionalFormatting>
  <conditionalFormatting sqref="C11:C12">
    <cfRule type="expression" dxfId="10" priority="6">
      <formula>COUNTIF($G$11:$G$12,"完了")=ROWS($G$11:$G$12)</formula>
    </cfRule>
  </conditionalFormatting>
  <conditionalFormatting sqref="C13:C22">
    <cfRule type="expression" dxfId="9" priority="7">
      <formula>COUNTIF($G$13:$G$22,"完了")=ROWS($G$13:$G$22)</formula>
    </cfRule>
  </conditionalFormatting>
  <conditionalFormatting sqref="C23:C26">
    <cfRule type="expression" dxfId="8" priority="8">
      <formula>COUNTIF($G$23:$G$26,"完了")=ROWS($G$23:$G$26)</formula>
    </cfRule>
  </conditionalFormatting>
  <conditionalFormatting sqref="C27:C29">
    <cfRule type="expression" dxfId="7" priority="9">
      <formula>COUNTIF($G$27:$G$29,"完了")=ROWS($G$27:$G$29)</formula>
    </cfRule>
  </conditionalFormatting>
  <conditionalFormatting sqref="C30:C31">
    <cfRule type="expression" dxfId="6" priority="10">
      <formula>COUNTIF($G$30:$G$31,"完了")=ROWS($G$30:$G$31)</formula>
    </cfRule>
  </conditionalFormatting>
  <conditionalFormatting sqref="C32:C33">
    <cfRule type="expression" dxfId="5" priority="11">
      <formula>COUNTIF($G$32:$G$33,"完了")=ROWS($G$32:$G$33)</formula>
    </cfRule>
  </conditionalFormatting>
  <conditionalFormatting sqref="C34:C35">
    <cfRule type="expression" dxfId="4" priority="12">
      <formula>COUNTIF($G$34:$G$35,"完了")=ROWS($G$34:$G$35)</formula>
    </cfRule>
  </conditionalFormatting>
  <conditionalFormatting sqref="C36:C38">
    <cfRule type="expression" dxfId="3" priority="13">
      <formula>COUNTIF($G$36:$G$38,"完了")=ROWS($G$36:$G$38)</formula>
    </cfRule>
  </conditionalFormatting>
  <conditionalFormatting sqref="C39">
    <cfRule type="expression" dxfId="2" priority="14">
      <formula>COUNTIF($G$39:$G$39,"完了")=ROWS($G$39:$G$39)</formula>
    </cfRule>
  </conditionalFormatting>
  <conditionalFormatting sqref="D2:F39">
    <cfRule type="expression" dxfId="1" priority="2">
      <formula>$G2="完了"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"/>
  <sheetViews>
    <sheetView workbookViewId="0"/>
  </sheetViews>
  <sheetFormatPr baseColWidth="10" defaultColWidth="8.83203125" defaultRowHeight="14"/>
  <cols>
    <col min="1" max="1" width="12" customWidth="1"/>
    <col min="2" max="16" width="5" customWidth="1"/>
    <col min="18" max="18" width="8" customWidth="1"/>
    <col min="19" max="20" width="12" customWidth="1"/>
  </cols>
  <sheetData>
    <row r="1" spans="1:20" ht="20">
      <c r="A1" s="17" t="s">
        <v>205</v>
      </c>
      <c r="R1" s="30" t="s">
        <v>206</v>
      </c>
      <c r="S1" s="31"/>
      <c r="T1" s="31"/>
    </row>
    <row r="3" spans="1:20" ht="17">
      <c r="A3" s="18" t="s">
        <v>207</v>
      </c>
      <c r="J3" s="18" t="s">
        <v>208</v>
      </c>
      <c r="R3" s="1" t="s">
        <v>209</v>
      </c>
      <c r="S3" s="1" t="s">
        <v>210</v>
      </c>
      <c r="T3" s="1" t="s">
        <v>211</v>
      </c>
    </row>
    <row r="4" spans="1:20" ht="17">
      <c r="A4" t="s">
        <v>212</v>
      </c>
      <c r="B4" t="s">
        <v>213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J4" t="s">
        <v>212</v>
      </c>
      <c r="K4" t="s">
        <v>213</v>
      </c>
      <c r="L4" t="s">
        <v>214</v>
      </c>
      <c r="M4" t="s">
        <v>215</v>
      </c>
      <c r="N4" t="s">
        <v>216</v>
      </c>
      <c r="O4" t="s">
        <v>217</v>
      </c>
      <c r="P4" t="s">
        <v>218</v>
      </c>
      <c r="R4" s="2" t="s">
        <v>59</v>
      </c>
      <c r="S4" s="2" t="s">
        <v>219</v>
      </c>
      <c r="T4" s="2" t="s">
        <v>220</v>
      </c>
    </row>
    <row r="5" spans="1:20" ht="17">
      <c r="G5">
        <v>1</v>
      </c>
      <c r="L5" s="19">
        <v>1</v>
      </c>
      <c r="M5" s="19">
        <v>2</v>
      </c>
      <c r="N5" s="19">
        <v>3</v>
      </c>
      <c r="O5" s="19">
        <v>4</v>
      </c>
      <c r="P5" s="19">
        <v>5</v>
      </c>
      <c r="R5" s="2" t="s">
        <v>85</v>
      </c>
      <c r="S5" s="2" t="s">
        <v>221</v>
      </c>
      <c r="T5" s="2" t="s">
        <v>220</v>
      </c>
    </row>
    <row r="6" spans="1:20">
      <c r="A6">
        <v>2</v>
      </c>
      <c r="B6">
        <v>3</v>
      </c>
      <c r="C6">
        <v>4</v>
      </c>
      <c r="D6">
        <v>5</v>
      </c>
      <c r="E6">
        <v>6</v>
      </c>
      <c r="F6">
        <v>7</v>
      </c>
      <c r="G6">
        <v>8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</row>
    <row r="7" spans="1:20">
      <c r="A7">
        <v>9</v>
      </c>
      <c r="B7">
        <v>10</v>
      </c>
      <c r="C7">
        <v>11</v>
      </c>
      <c r="D7">
        <v>12</v>
      </c>
      <c r="E7">
        <v>13</v>
      </c>
      <c r="F7">
        <v>14</v>
      </c>
      <c r="G7">
        <v>15</v>
      </c>
      <c r="J7">
        <v>13</v>
      </c>
      <c r="K7">
        <v>14</v>
      </c>
      <c r="L7">
        <v>15</v>
      </c>
      <c r="M7">
        <v>16</v>
      </c>
      <c r="N7">
        <v>17</v>
      </c>
      <c r="O7">
        <v>18</v>
      </c>
      <c r="P7">
        <v>19</v>
      </c>
    </row>
    <row r="8" spans="1:20">
      <c r="A8">
        <v>16</v>
      </c>
      <c r="B8">
        <v>17</v>
      </c>
      <c r="C8">
        <v>18</v>
      </c>
      <c r="D8">
        <v>19</v>
      </c>
      <c r="E8">
        <v>20</v>
      </c>
      <c r="F8">
        <v>21</v>
      </c>
      <c r="G8">
        <v>22</v>
      </c>
      <c r="J8">
        <v>20</v>
      </c>
      <c r="K8">
        <v>21</v>
      </c>
      <c r="L8">
        <v>22</v>
      </c>
      <c r="M8">
        <v>23</v>
      </c>
      <c r="N8">
        <v>24</v>
      </c>
      <c r="O8">
        <v>25</v>
      </c>
      <c r="P8">
        <v>26</v>
      </c>
    </row>
    <row r="9" spans="1:20" ht="16">
      <c r="A9">
        <v>23</v>
      </c>
      <c r="B9" s="20">
        <v>24</v>
      </c>
      <c r="C9" s="20">
        <v>25</v>
      </c>
      <c r="D9" s="20">
        <v>26</v>
      </c>
      <c r="E9" s="20">
        <v>27</v>
      </c>
      <c r="F9" s="19">
        <v>28</v>
      </c>
      <c r="G9" s="19">
        <v>29</v>
      </c>
      <c r="J9">
        <v>27</v>
      </c>
      <c r="K9">
        <v>28</v>
      </c>
      <c r="L9">
        <v>29</v>
      </c>
      <c r="M9">
        <v>30</v>
      </c>
      <c r="N9">
        <v>31</v>
      </c>
    </row>
    <row r="10" spans="1:20">
      <c r="A10" s="19">
        <v>30</v>
      </c>
      <c r="B10" s="19">
        <v>31</v>
      </c>
    </row>
    <row r="12" spans="1:20">
      <c r="A12" t="s">
        <v>195</v>
      </c>
    </row>
    <row r="13" spans="1:20" ht="16">
      <c r="A13" s="20" t="s">
        <v>222</v>
      </c>
    </row>
    <row r="14" spans="1:20" ht="16">
      <c r="A14" s="15" t="s">
        <v>223</v>
      </c>
    </row>
    <row r="15" spans="1:20">
      <c r="A15" s="19" t="s">
        <v>224</v>
      </c>
    </row>
  </sheetData>
  <mergeCells count="1">
    <mergeCell ref="R1:T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pane ySplit="1" topLeftCell="A2" activePane="bottomLeft" state="frozen"/>
      <selection pane="bottomLeft" activeCell="B34" sqref="B34"/>
    </sheetView>
  </sheetViews>
  <sheetFormatPr baseColWidth="10" defaultColWidth="8.83203125" defaultRowHeight="14"/>
  <cols>
    <col min="1" max="1" width="25" customWidth="1"/>
    <col min="2" max="3" width="12" customWidth="1"/>
    <col min="4" max="4" width="25" customWidth="1"/>
    <col min="5" max="5" width="10" customWidth="1"/>
  </cols>
  <sheetData>
    <row r="1" spans="1:5" ht="17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</row>
    <row r="2" spans="1:5" ht="17">
      <c r="A2" s="2" t="s">
        <v>230</v>
      </c>
      <c r="B2" s="2" t="s">
        <v>231</v>
      </c>
      <c r="C2" s="2"/>
      <c r="D2" s="2" t="s">
        <v>232</v>
      </c>
      <c r="E2" s="2" t="s">
        <v>61</v>
      </c>
    </row>
    <row r="3" spans="1:5" ht="17">
      <c r="A3" s="2" t="s">
        <v>233</v>
      </c>
      <c r="B3" s="2" t="s">
        <v>234</v>
      </c>
      <c r="C3" s="2"/>
      <c r="D3" s="2" t="s">
        <v>21</v>
      </c>
      <c r="E3" s="2" t="s">
        <v>61</v>
      </c>
    </row>
    <row r="4" spans="1:5" ht="17">
      <c r="A4" s="2" t="s">
        <v>235</v>
      </c>
      <c r="B4" s="2" t="s">
        <v>236</v>
      </c>
      <c r="C4" s="2"/>
      <c r="D4" s="2" t="s">
        <v>38</v>
      </c>
      <c r="E4" s="2" t="s">
        <v>61</v>
      </c>
    </row>
    <row r="5" spans="1:5" ht="17">
      <c r="A5" s="2" t="s">
        <v>237</v>
      </c>
      <c r="B5" s="2" t="s">
        <v>238</v>
      </c>
      <c r="C5" s="2"/>
      <c r="D5" s="2" t="s">
        <v>239</v>
      </c>
      <c r="E5" s="2" t="s">
        <v>61</v>
      </c>
    </row>
    <row r="6" spans="1:5" ht="17">
      <c r="A6" s="2" t="s">
        <v>240</v>
      </c>
      <c r="B6" s="2" t="s">
        <v>219</v>
      </c>
      <c r="C6" s="2"/>
      <c r="D6" s="2" t="s">
        <v>241</v>
      </c>
      <c r="E6" s="2" t="s">
        <v>61</v>
      </c>
    </row>
    <row r="7" spans="1:5" ht="17">
      <c r="A7" s="2" t="s">
        <v>242</v>
      </c>
      <c r="B7" s="2" t="s">
        <v>221</v>
      </c>
      <c r="C7" s="2"/>
      <c r="D7" s="2" t="s">
        <v>243</v>
      </c>
      <c r="E7" s="2" t="s">
        <v>61</v>
      </c>
    </row>
    <row r="8" spans="1:5" ht="17">
      <c r="A8" s="2" t="s">
        <v>244</v>
      </c>
      <c r="B8" s="2" t="s">
        <v>245</v>
      </c>
      <c r="C8" s="2"/>
      <c r="D8" s="2" t="s">
        <v>246</v>
      </c>
      <c r="E8" s="2" t="s">
        <v>61</v>
      </c>
    </row>
    <row r="9" spans="1:5" ht="17">
      <c r="A9" s="2" t="s">
        <v>247</v>
      </c>
      <c r="B9" s="2" t="s">
        <v>248</v>
      </c>
      <c r="C9" s="2"/>
      <c r="D9" s="2" t="s">
        <v>110</v>
      </c>
      <c r="E9" s="2" t="s">
        <v>61</v>
      </c>
    </row>
    <row r="10" spans="1:5" ht="17">
      <c r="A10" s="2" t="s">
        <v>249</v>
      </c>
      <c r="B10" s="2" t="s">
        <v>248</v>
      </c>
      <c r="C10" s="2"/>
      <c r="D10" s="2" t="s">
        <v>113</v>
      </c>
      <c r="E10" s="2" t="s">
        <v>61</v>
      </c>
    </row>
    <row r="11" spans="1:5" ht="17">
      <c r="A11" s="2" t="s">
        <v>250</v>
      </c>
      <c r="B11" s="2" t="s">
        <v>251</v>
      </c>
      <c r="C11" s="2"/>
      <c r="D11" s="2" t="s">
        <v>252</v>
      </c>
      <c r="E11" s="2" t="s">
        <v>61</v>
      </c>
    </row>
    <row r="12" spans="1:5" ht="17">
      <c r="A12" s="2" t="s">
        <v>253</v>
      </c>
      <c r="B12" s="2" t="s">
        <v>248</v>
      </c>
      <c r="C12" s="2"/>
      <c r="D12" s="2" t="s">
        <v>127</v>
      </c>
      <c r="E12" s="2" t="s">
        <v>61</v>
      </c>
    </row>
    <row r="13" spans="1:5" ht="17">
      <c r="A13" s="2" t="s">
        <v>144</v>
      </c>
      <c r="B13" s="2" t="s">
        <v>254</v>
      </c>
      <c r="C13" s="2"/>
      <c r="D13" s="2" t="s">
        <v>255</v>
      </c>
      <c r="E13" s="2" t="s">
        <v>61</v>
      </c>
    </row>
    <row r="14" spans="1:5" ht="17">
      <c r="A14" s="2" t="s">
        <v>256</v>
      </c>
      <c r="B14" s="2" t="s">
        <v>257</v>
      </c>
      <c r="C14" s="2"/>
      <c r="D14" s="2" t="s">
        <v>258</v>
      </c>
      <c r="E14" s="2" t="s">
        <v>61</v>
      </c>
    </row>
    <row r="15" spans="1:5" ht="17">
      <c r="A15" s="2" t="s">
        <v>158</v>
      </c>
      <c r="B15" s="2" t="s">
        <v>259</v>
      </c>
      <c r="C15" s="2"/>
      <c r="D15" s="2" t="s">
        <v>260</v>
      </c>
      <c r="E15" s="2" t="s">
        <v>61</v>
      </c>
    </row>
    <row r="16" spans="1:5" ht="17">
      <c r="A16" s="2" t="s">
        <v>261</v>
      </c>
      <c r="B16" s="2" t="s">
        <v>262</v>
      </c>
      <c r="C16" s="2"/>
      <c r="D16" s="2" t="s">
        <v>263</v>
      </c>
      <c r="E16" s="2" t="s">
        <v>61</v>
      </c>
    </row>
    <row r="17" spans="1:5" ht="17">
      <c r="A17" s="2" t="s">
        <v>264</v>
      </c>
      <c r="B17" s="2" t="s">
        <v>262</v>
      </c>
      <c r="C17" s="2"/>
      <c r="D17" s="2" t="s">
        <v>265</v>
      </c>
      <c r="E17" s="2" t="s">
        <v>61</v>
      </c>
    </row>
    <row r="18" spans="1:5" ht="17">
      <c r="A18" s="2" t="s">
        <v>266</v>
      </c>
      <c r="B18" s="2" t="s">
        <v>267</v>
      </c>
      <c r="C18" s="2"/>
      <c r="D18" s="2" t="s">
        <v>64</v>
      </c>
      <c r="E18" s="2" t="s">
        <v>61</v>
      </c>
    </row>
  </sheetData>
  <phoneticPr fontId="8" type="noConversion"/>
  <dataValidations count="1">
    <dataValidation type="list" allowBlank="1" sqref="E2:E18" xr:uid="{00000000-0002-0000-0400-000000000000}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ガントチャート</vt:lpstr>
      <vt:lpstr>KC組タスク</vt:lpstr>
      <vt:lpstr>ATH組タスク</vt:lpstr>
      <vt:lpstr>休暇カレンダー</vt:lpstr>
      <vt:lpstr>マイルストーン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Junchen</cp:lastModifiedBy>
  <dcterms:created xsi:type="dcterms:W3CDTF">2025-12-09T06:46:01Z</dcterms:created>
  <dcterms:modified xsi:type="dcterms:W3CDTF">2025-12-09T07:51:53Z</dcterms:modified>
</cp:coreProperties>
</file>